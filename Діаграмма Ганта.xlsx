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codeName="ThisWorkbook"/>
  <mc:AlternateContent xmlns:mc="http://schemas.openxmlformats.org/markup-compatibility/2006">
    <mc:Choice Requires="x15">
      <x15ac:absPath xmlns:x15ac="http://schemas.microsoft.com/office/spreadsheetml/2010/11/ac" url="C:\Users\Deesthortered\Desktop\"/>
    </mc:Choice>
  </mc:AlternateContent>
  <xr:revisionPtr revIDLastSave="0" documentId="13_ncr:1_{D0E52748-71E3-4995-9213-E0DB4F8FFBD8}" xr6:coauthVersionLast="45" xr6:coauthVersionMax="45" xr10:uidLastSave="{00000000-0000-0000-0000-000000000000}"/>
  <bookViews>
    <workbookView xWindow="-108" yWindow="-108" windowWidth="23256" windowHeight="12720" firstSheet="2" activeTab="2" xr2:uid="{00000000-000D-0000-FFFF-FFFF00000000}"/>
  </bookViews>
  <sheets>
    <sheet name="Диаграмма2" sheetId="11" state="hidden" r:id="rId1"/>
    <sheet name="Диаграмма1" sheetId="10" state="hidden" r:id="rId2"/>
    <sheet name="GanttChart" sheetId="9" r:id="rId3"/>
  </sheets>
  <definedNames>
    <definedName name="prevWBS" localSheetId="2">GanttChart!$A1048576</definedName>
    <definedName name="valuevx">42.314159</definedName>
    <definedName name="vertex42_copyright" hidden="1">"© 2006-2018 Vertex42 LLC"</definedName>
    <definedName name="vertex42_id" hidden="1">"gantt-chart_L2.xlsx"</definedName>
    <definedName name="vertex42_title" hidden="1">"Gantt Chart Template"</definedName>
    <definedName name="_xlnm.Print_Titles" localSheetId="2">GanttChart!$4:$7</definedName>
    <definedName name="_xlnm.Print_Area" localSheetId="2">GanttChart!$A$1:$BN$40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9" i="9" l="1"/>
  <c r="F31" i="9"/>
  <c r="I31" i="9" s="1"/>
  <c r="F32" i="9"/>
  <c r="I32" i="9" s="1"/>
  <c r="F46" i="9"/>
  <c r="I46" i="9" s="1"/>
  <c r="F45" i="9"/>
  <c r="I45" i="9" s="1"/>
  <c r="F44" i="9"/>
  <c r="I44" i="9" s="1"/>
  <c r="F42" i="9"/>
  <c r="I42" i="9" s="1"/>
  <c r="F41" i="9"/>
  <c r="I41" i="9" s="1"/>
  <c r="F40" i="9"/>
  <c r="I40" i="9" s="1"/>
  <c r="F38" i="9"/>
  <c r="I38" i="9" s="1"/>
  <c r="F37" i="9"/>
  <c r="I37" i="9" s="1"/>
  <c r="F36" i="9"/>
  <c r="I36" i="9" s="1"/>
  <c r="F35" i="9"/>
  <c r="I35" i="9" s="1"/>
  <c r="F34" i="9"/>
  <c r="I34" i="9" s="1"/>
  <c r="F29" i="9" l="1"/>
  <c r="F19" i="9"/>
  <c r="F18" i="9"/>
  <c r="F17" i="9"/>
  <c r="F16" i="9"/>
  <c r="F15" i="9"/>
  <c r="F25" i="9"/>
  <c r="F24" i="9"/>
  <c r="F23" i="9"/>
  <c r="F22" i="9"/>
  <c r="F21" i="9"/>
  <c r="F27" i="9"/>
  <c r="F28" i="9" l="1"/>
  <c r="F10" i="9" l="1"/>
  <c r="K6" i="9"/>
  <c r="F12" i="9" l="1"/>
  <c r="F13" i="9" s="1"/>
  <c r="K7" i="9"/>
  <c r="K4" i="9"/>
  <c r="A8" i="9"/>
  <c r="L6" i="9" l="1"/>
  <c r="I22" i="9" l="1"/>
  <c r="I21" i="9"/>
  <c r="I28" i="9"/>
  <c r="I15" i="9"/>
  <c r="I9" i="9"/>
  <c r="I27" i="9"/>
  <c r="M6" i="9"/>
  <c r="I16" i="9"/>
  <c r="I23" i="9" l="1"/>
  <c r="I17" i="9"/>
  <c r="N6" i="9"/>
  <c r="I29" i="9"/>
  <c r="F30" i="9"/>
  <c r="I30" i="9" l="1"/>
  <c r="I12" i="9"/>
  <c r="O6" i="9"/>
  <c r="K5" i="9"/>
  <c r="I24" i="9" l="1"/>
  <c r="I25" i="9"/>
  <c r="I18" i="9"/>
  <c r="I10" i="9"/>
  <c r="F11" i="9"/>
  <c r="I13" i="9"/>
  <c r="P6" i="9"/>
  <c r="L7" i="9"/>
  <c r="I19" i="9" l="1"/>
  <c r="I11" i="9"/>
  <c r="Q6" i="9"/>
  <c r="M7" i="9"/>
  <c r="R6" i="9" l="1"/>
  <c r="N7" i="9"/>
  <c r="S6" i="9" l="1"/>
  <c r="O7" i="9"/>
  <c r="T6" i="9" l="1"/>
  <c r="U6" i="9" s="1"/>
  <c r="P7" i="9"/>
  <c r="V6" i="9" l="1"/>
  <c r="U7" i="9"/>
  <c r="Q7" i="9"/>
  <c r="V7" i="9" l="1"/>
  <c r="W6" i="9"/>
  <c r="W7" i="9" s="1"/>
  <c r="R7" i="9"/>
  <c r="R5" i="9"/>
  <c r="R4" i="9"/>
  <c r="S7" i="9" l="1"/>
  <c r="X6" i="9" l="1"/>
  <c r="T7" i="9"/>
  <c r="Y6" i="9" l="1"/>
  <c r="Z6" i="9" l="1"/>
  <c r="AA6" i="9" l="1"/>
  <c r="X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l="1"/>
  <c r="A14" i="9" s="1"/>
  <c r="A15" i="9" s="1"/>
  <c r="A16" i="9" s="1"/>
  <c r="A17" i="9" s="1"/>
  <c r="A18" i="9" s="1"/>
  <c r="A19" i="9" s="1"/>
  <c r="A20" i="9" s="1"/>
  <c r="A21" i="9" s="1"/>
  <c r="A22" i="9" s="1"/>
  <c r="A23" i="9" s="1"/>
  <c r="A24" i="9" s="1"/>
  <c r="A25" i="9" l="1"/>
  <c r="A26" i="9" s="1"/>
  <c r="A27" i="9" s="1"/>
  <c r="A28" i="9" s="1"/>
  <c r="A29" i="9" s="1"/>
  <c r="A30" i="9" s="1"/>
  <c r="A31" i="9" s="1"/>
  <c r="A32" i="9" s="1"/>
  <c r="A33" i="9" l="1"/>
  <c r="A34" i="9" s="1"/>
  <c r="A35" i="9" s="1"/>
  <c r="A36" i="9" s="1"/>
  <c r="A37" i="9" s="1"/>
  <c r="A38" i="9" s="1"/>
  <c r="A39" i="9" s="1"/>
  <c r="A40" i="9" s="1"/>
  <c r="A41" i="9" s="1"/>
  <c r="A42" i="9" s="1"/>
  <c r="A43" i="9" s="1"/>
  <c r="A44" i="9" s="1"/>
  <c r="A45" i="9" s="1"/>
  <c r="A4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<sst xmlns="http://schemas.openxmlformats.org/spreadsheetml/2006/main" count="85" uniqueCount="56">
  <si>
    <t>WBS</t>
  </si>
  <si>
    <t>TASK</t>
  </si>
  <si>
    <t>LEAD</t>
  </si>
  <si>
    <t>START</t>
  </si>
  <si>
    <t>END</t>
  </si>
  <si>
    <t>DAYS</t>
  </si>
  <si>
    <t>% DONE</t>
  </si>
  <si>
    <t>WORK DAYS</t>
  </si>
  <si>
    <t>PREDECESSOR</t>
  </si>
  <si>
    <t>Display Week</t>
  </si>
  <si>
    <t>Project Lead</t>
  </si>
  <si>
    <t>Project Start Date</t>
  </si>
  <si>
    <t>Triciyen Project Schedule</t>
  </si>
  <si>
    <t>Andrii</t>
  </si>
  <si>
    <t>Anna</t>
  </si>
  <si>
    <t>Anatolii Davydko</t>
  </si>
  <si>
    <t>Anatolii</t>
  </si>
  <si>
    <t xml:space="preserve">Розробка клієнт-серверної архітектури </t>
  </si>
  <si>
    <t>Планування бізнес-логіки на сервері</t>
  </si>
  <si>
    <t>Розробка ER-моделі</t>
  </si>
  <si>
    <t>Проектування архітектури клієнта</t>
  </si>
  <si>
    <t>Створення базової структури сервера</t>
  </si>
  <si>
    <t>Створення базової структури клієнта</t>
  </si>
  <si>
    <t>Налагодження належної комунікації між клієнтом та сервером</t>
  </si>
  <si>
    <t>Аналіз здійсненності</t>
  </si>
  <si>
    <t>Аналіз вимог</t>
  </si>
  <si>
    <t>Розробка прототипу</t>
  </si>
  <si>
    <t>Проектна розробка</t>
  </si>
  <si>
    <t>Тестування</t>
  </si>
  <si>
    <t>Випуск</t>
  </si>
  <si>
    <t>Створення документації</t>
  </si>
  <si>
    <t>Планування UX-прототипу</t>
  </si>
  <si>
    <t>Обговорення проєкту с клієнтом</t>
  </si>
  <si>
    <t>Створення основної технічної задачі (ТЗ)</t>
  </si>
  <si>
    <t>Налагодження необхідної інфраструктури</t>
  </si>
  <si>
    <t>Оціна ризиків та побудова плану розробки</t>
  </si>
  <si>
    <t>Створення та розподілення списку технічних задач</t>
  </si>
  <si>
    <t>Розробка прототипу сервера з мінімальним функціоналом</t>
  </si>
  <si>
    <t>Розробка прототипу клієнта з мінімальним функціоналом</t>
  </si>
  <si>
    <t>Попереднє тестування системи</t>
  </si>
  <si>
    <t>Реалізація серверної архітектури з урахуванням системних вимог</t>
  </si>
  <si>
    <t>Реалізація клієнтської архітектури з урахуванням системних вимог</t>
  </si>
  <si>
    <t>Імплементація користувацьких вимог серверної частини</t>
  </si>
  <si>
    <t>Імплементація користувацьких вимог клієнтської частини</t>
  </si>
  <si>
    <t>Попереднє тестування користувацьких вимог</t>
  </si>
  <si>
    <t>Підготовка спеціальних тестувальних інструментів</t>
  </si>
  <si>
    <t>Тестування системних нефункціональних вимог</t>
  </si>
  <si>
    <t>Тестування системних функціональних вимог</t>
  </si>
  <si>
    <t>Тестування користувацьких нефункціональних вимог</t>
  </si>
  <si>
    <t>Тестування користувацьких функціональних вимог</t>
  </si>
  <si>
    <t>Демонстрація продукту клієнту</t>
  </si>
  <si>
    <t>Демонстрація роботи функціональних вимог системи</t>
  </si>
  <si>
    <t>Обговорення отриманого фідбеку та пропозицій</t>
  </si>
  <si>
    <t>Створення документації на системні вимоги</t>
  </si>
  <si>
    <t>Створення документації на користувацькі вимоги</t>
  </si>
  <si>
    <t>Створення базого 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</si>
</sst>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2" x14ac:knownFonts="1">
    <font>
      <sz val="10"/>
      <name val="Arial"/>
    </font>
    <font>
      <sz val="10"/>
      <name val="Arial"/>
      <family val="2"/>
    </font>
    <font>
      <u/>
      <sz val="10"/>
      <color indexed="12"/>
      <name val="Arial"/>
      <family val="2"/>
    </font>
    <font>
      <sz val="8"/>
      <name val="Arial"/>
      <family val="2"/>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b/>
      <sz val="11"/>
      <name val="Arial"/>
      <family val="1"/>
      <scheme val="minor"/>
    </font>
    <font>
      <sz val="9"/>
      <color rgb="FF000000"/>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i/>
      <sz val="10"/>
      <color theme="0"/>
      <name val="Arial"/>
      <family val="2"/>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s>
  <cellStyleXfs count="44">
    <xf numFmtId="0" fontId="0" fillId="0" borderId="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7" fillId="16" borderId="0" applyNumberFormat="0" applyBorder="0" applyAlignment="0" applyProtection="0"/>
    <xf numFmtId="0" fontId="8" fillId="17" borderId="1" applyNumberFormat="0" applyAlignment="0" applyProtection="0"/>
    <xf numFmtId="0" fontId="9" fillId="18" borderId="2" applyNumberFormat="0" applyAlignment="0" applyProtection="0"/>
    <xf numFmtId="0" fontId="10" fillId="0" borderId="0" applyNumberFormat="0" applyFill="0" applyBorder="0" applyAlignment="0" applyProtection="0"/>
    <xf numFmtId="0" fontId="11" fillId="1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2" fillId="0" borderId="0" applyNumberFormat="0" applyFill="0" applyBorder="0" applyAlignment="0" applyProtection="0">
      <alignment vertical="top"/>
      <protection locked="0"/>
    </xf>
    <xf numFmtId="0" fontId="15" fillId="11" borderId="1" applyNumberFormat="0" applyAlignment="0" applyProtection="0"/>
    <xf numFmtId="0" fontId="16" fillId="0" borderId="6" applyNumberFormat="0" applyFill="0" applyAlignment="0" applyProtection="0"/>
    <xf numFmtId="0" fontId="17" fillId="5" borderId="0" applyNumberFormat="0" applyBorder="0" applyAlignment="0" applyProtection="0"/>
    <xf numFmtId="0" fontId="4" fillId="5" borderId="7" applyNumberFormat="0" applyFont="0" applyAlignment="0" applyProtection="0"/>
    <xf numFmtId="0" fontId="18" fillId="17" borderId="8" applyNumberFormat="0" applyAlignment="0" applyProtection="0"/>
    <xf numFmtId="9" fontId="1"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146">
    <xf numFmtId="0" fontId="0" fillId="0" borderId="0" xfId="0"/>
    <xf numFmtId="0" fontId="27" fillId="0" borderId="0" xfId="0" applyFont="1" applyProtection="1"/>
    <xf numFmtId="0" fontId="27" fillId="0" borderId="0" xfId="0" applyFont="1" applyFill="1" applyBorder="1" applyProtection="1"/>
    <xf numFmtId="0" fontId="27" fillId="0" borderId="0" xfId="0" applyNumberFormat="1" applyFont="1" applyFill="1" applyBorder="1" applyProtection="1"/>
    <xf numFmtId="0" fontId="27" fillId="0" borderId="0" xfId="0" applyNumberFormat="1" applyFont="1" applyProtection="1"/>
    <xf numFmtId="0" fontId="28" fillId="20" borderId="12" xfId="0" applyFont="1" applyFill="1" applyBorder="1" applyAlignment="1" applyProtection="1">
      <alignment vertical="center"/>
    </xf>
    <xf numFmtId="0" fontId="28" fillId="20" borderId="12" xfId="0" applyNumberFormat="1" applyFont="1" applyFill="1" applyBorder="1" applyAlignment="1" applyProtection="1">
      <alignment horizontal="center" vertical="center"/>
    </xf>
    <xf numFmtId="165" fontId="28" fillId="20" borderId="12" xfId="0" applyNumberFormat="1" applyFont="1" applyFill="1" applyBorder="1" applyAlignment="1" applyProtection="1">
      <alignment horizontal="right" vertical="center"/>
    </xf>
    <xf numFmtId="1" fontId="28" fillId="20" borderId="12" xfId="40" applyNumberFormat="1" applyFont="1" applyFill="1" applyBorder="1" applyAlignment="1" applyProtection="1">
      <alignment horizontal="center" vertical="center"/>
    </xf>
    <xf numFmtId="9" fontId="28" fillId="20" borderId="12" xfId="40" applyFont="1" applyFill="1" applyBorder="1" applyAlignment="1" applyProtection="1">
      <alignment horizontal="center" vertical="center"/>
    </xf>
    <xf numFmtId="0" fontId="28" fillId="20" borderId="12" xfId="0" applyFont="1" applyFill="1" applyBorder="1" applyAlignment="1" applyProtection="1">
      <alignment horizontal="center" vertical="center"/>
    </xf>
    <xf numFmtId="0" fontId="28" fillId="20" borderId="10" xfId="0" applyFont="1" applyFill="1" applyBorder="1" applyAlignment="1" applyProtection="1">
      <alignment vertical="center"/>
    </xf>
    <xf numFmtId="0" fontId="28" fillId="0" borderId="10" xfId="0" applyFont="1" applyFill="1" applyBorder="1" applyAlignment="1" applyProtection="1">
      <alignment vertical="center"/>
    </xf>
    <xf numFmtId="0" fontId="30" fillId="0" borderId="11" xfId="0" applyFont="1" applyBorder="1" applyAlignment="1" applyProtection="1">
      <alignment horizontal="center" vertical="center"/>
    </xf>
    <xf numFmtId="0" fontId="28" fillId="0" borderId="10" xfId="0" applyFont="1" applyFill="1" applyBorder="1" applyAlignment="1" applyProtection="1">
      <alignment horizontal="center" vertical="center"/>
    </xf>
    <xf numFmtId="0" fontId="28" fillId="0" borderId="10" xfId="0" applyFont="1" applyFill="1" applyBorder="1" applyAlignment="1" applyProtection="1">
      <alignment horizontal="left" vertical="center" wrapText="1" indent="1"/>
    </xf>
    <xf numFmtId="0" fontId="28" fillId="20" borderId="10" xfId="0" applyNumberFormat="1" applyFont="1" applyFill="1" applyBorder="1" applyAlignment="1" applyProtection="1">
      <alignment horizontal="center" vertical="center"/>
    </xf>
    <xf numFmtId="1" fontId="28" fillId="20" borderId="10" xfId="40" applyNumberFormat="1" applyFont="1" applyFill="1" applyBorder="1" applyAlignment="1" applyProtection="1">
      <alignment horizontal="center" vertical="center"/>
    </xf>
    <xf numFmtId="9" fontId="28" fillId="20" borderId="10" xfId="40" applyFont="1" applyFill="1" applyBorder="1" applyAlignment="1" applyProtection="1">
      <alignment horizontal="center" vertical="center"/>
    </xf>
    <xf numFmtId="0" fontId="28" fillId="20" borderId="10" xfId="0" applyFont="1" applyFill="1" applyBorder="1" applyAlignment="1" applyProtection="1">
      <alignment horizontal="center" vertical="center"/>
    </xf>
    <xf numFmtId="0" fontId="33" fillId="24" borderId="0" xfId="0" applyNumberFormat="1" applyFont="1" applyFill="1" applyBorder="1" applyAlignment="1" applyProtection="1">
      <alignment vertical="center"/>
      <protection locked="0"/>
    </xf>
    <xf numFmtId="0" fontId="34" fillId="24" borderId="0" xfId="0" applyFont="1" applyFill="1" applyProtection="1"/>
    <xf numFmtId="0" fontId="35" fillId="24" borderId="0" xfId="0" applyFont="1" applyFill="1" applyBorder="1" applyAlignment="1">
      <alignment vertical="center"/>
    </xf>
    <xf numFmtId="0" fontId="34" fillId="24" borderId="0" xfId="0" applyFont="1" applyFill="1" applyBorder="1" applyProtection="1"/>
    <xf numFmtId="1" fontId="30" fillId="22" borderId="11" xfId="0" applyNumberFormat="1" applyFont="1" applyFill="1" applyBorder="1" applyAlignment="1" applyProtection="1">
      <alignment horizontal="center" vertical="center"/>
    </xf>
    <xf numFmtId="9" fontId="30" fillId="22" borderId="11" xfId="40" applyFont="1" applyFill="1" applyBorder="1" applyAlignment="1" applyProtection="1">
      <alignment horizontal="center" vertical="center"/>
    </xf>
    <xf numFmtId="0" fontId="39" fillId="27" borderId="14" xfId="0" applyFont="1" applyFill="1" applyBorder="1" applyAlignment="1" applyProtection="1">
      <alignment horizontal="center" vertical="center" wrapText="1"/>
    </xf>
    <xf numFmtId="0" fontId="37" fillId="27" borderId="14" xfId="0" applyNumberFormat="1" applyFont="1" applyFill="1" applyBorder="1" applyAlignment="1" applyProtection="1">
      <alignment horizontal="left" vertical="center"/>
    </xf>
    <xf numFmtId="0" fontId="37" fillId="27" borderId="14" xfId="0" applyFont="1" applyFill="1" applyBorder="1" applyAlignment="1" applyProtection="1">
      <alignment horizontal="left" vertical="center"/>
    </xf>
    <xf numFmtId="0" fontId="37" fillId="27" borderId="14" xfId="0" applyFont="1" applyFill="1" applyBorder="1" applyAlignment="1" applyProtection="1">
      <alignment horizontal="center" vertical="center" wrapText="1"/>
    </xf>
    <xf numFmtId="0" fontId="37" fillId="27" borderId="14" xfId="0" applyNumberFormat="1" applyFont="1" applyFill="1" applyBorder="1" applyAlignment="1" applyProtection="1">
      <alignment horizontal="center" vertical="center" wrapText="1"/>
    </xf>
    <xf numFmtId="0" fontId="37" fillId="27" borderId="14" xfId="0" applyFont="1" applyFill="1" applyBorder="1" applyAlignment="1" applyProtection="1">
      <alignment horizontal="center" vertical="center"/>
    </xf>
    <xf numFmtId="0" fontId="39" fillId="26" borderId="15" xfId="0" applyNumberFormat="1" applyFont="1" applyFill="1" applyBorder="1" applyAlignment="1" applyProtection="1">
      <alignment horizontal="center" vertical="center" shrinkToFit="1"/>
    </xf>
    <xf numFmtId="0" fontId="39" fillId="26" borderId="14" xfId="0" applyFont="1" applyFill="1" applyBorder="1" applyAlignment="1" applyProtection="1"/>
    <xf numFmtId="0" fontId="39" fillId="23" borderId="14" xfId="0" applyFont="1" applyFill="1" applyBorder="1" applyAlignment="1" applyProtection="1"/>
    <xf numFmtId="0" fontId="41" fillId="23" borderId="0" xfId="0" applyNumberFormat="1" applyFont="1" applyFill="1" applyBorder="1" applyProtection="1"/>
    <xf numFmtId="0" fontId="41" fillId="23" borderId="0" xfId="0" applyFont="1" applyFill="1" applyProtection="1"/>
    <xf numFmtId="0" fontId="41" fillId="23" borderId="0" xfId="0" applyNumberFormat="1" applyFont="1" applyFill="1" applyProtection="1"/>
    <xf numFmtId="166" fontId="38" fillId="23" borderId="13" xfId="0" applyNumberFormat="1" applyFont="1" applyFill="1" applyBorder="1" applyAlignment="1" applyProtection="1">
      <alignment horizontal="center" vertical="center" shrinkToFit="1"/>
    </xf>
    <xf numFmtId="0" fontId="41" fillId="23" borderId="0" xfId="0" applyFont="1" applyFill="1" applyBorder="1" applyProtection="1"/>
    <xf numFmtId="0" fontId="32" fillId="23" borderId="0" xfId="0" applyFont="1" applyFill="1" applyAlignment="1" applyProtection="1">
      <alignment vertical="center"/>
    </xf>
    <xf numFmtId="0" fontId="32" fillId="23" borderId="0" xfId="0" applyFont="1" applyFill="1" applyBorder="1" applyAlignment="1" applyProtection="1">
      <alignment vertical="center"/>
    </xf>
    <xf numFmtId="0" fontId="31" fillId="25" borderId="0" xfId="0" applyNumberFormat="1" applyFont="1" applyFill="1" applyBorder="1" applyAlignment="1" applyProtection="1">
      <alignment vertical="center"/>
      <protection locked="0"/>
    </xf>
    <xf numFmtId="0" fontId="42" fillId="25" borderId="0" xfId="34" applyNumberFormat="1" applyFont="1" applyFill="1" applyBorder="1" applyAlignment="1" applyProtection="1">
      <alignment horizontal="right" vertical="center"/>
      <protection locked="0"/>
    </xf>
    <xf numFmtId="0" fontId="31" fillId="25" borderId="0" xfId="0" applyFont="1" applyFill="1" applyBorder="1" applyAlignment="1" applyProtection="1">
      <alignment vertical="center"/>
      <protection locked="0"/>
    </xf>
    <xf numFmtId="0" fontId="36" fillId="25" borderId="0" xfId="0" applyFont="1" applyFill="1" applyBorder="1" applyAlignment="1" applyProtection="1">
      <alignment vertical="center"/>
      <protection locked="0"/>
    </xf>
    <xf numFmtId="0" fontId="26" fillId="25" borderId="0" xfId="0" applyFont="1" applyFill="1" applyBorder="1" applyAlignment="1" applyProtection="1">
      <alignment vertical="center"/>
    </xf>
    <xf numFmtId="0" fontId="39" fillId="26" borderId="16" xfId="0" applyNumberFormat="1" applyFont="1" applyFill="1" applyBorder="1" applyAlignment="1" applyProtection="1">
      <alignment horizontal="center" vertical="center" shrinkToFit="1"/>
    </xf>
    <xf numFmtId="0" fontId="39" fillId="26" borderId="17" xfId="0" applyNumberFormat="1" applyFont="1" applyFill="1" applyBorder="1" applyAlignment="1" applyProtection="1">
      <alignment horizontal="center" vertical="center" shrinkToFit="1"/>
    </xf>
    <xf numFmtId="0" fontId="39" fillId="26" borderId="18" xfId="0" applyNumberFormat="1" applyFont="1" applyFill="1" applyBorder="1" applyAlignment="1" applyProtection="1">
      <alignment horizontal="center" vertical="center" shrinkToFit="1"/>
    </xf>
    <xf numFmtId="0" fontId="39" fillId="26" borderId="19" xfId="0" applyNumberFormat="1" applyFont="1" applyFill="1" applyBorder="1" applyAlignment="1" applyProtection="1">
      <alignment horizontal="center" vertical="center" shrinkToFit="1"/>
    </xf>
    <xf numFmtId="166" fontId="38" fillId="23" borderId="20" xfId="0" applyNumberFormat="1" applyFont="1" applyFill="1" applyBorder="1" applyAlignment="1" applyProtection="1">
      <alignment horizontal="center" vertical="center" shrinkToFit="1"/>
    </xf>
    <xf numFmtId="166" fontId="38" fillId="23" borderId="21" xfId="0" applyNumberFormat="1" applyFont="1" applyFill="1" applyBorder="1" applyAlignment="1" applyProtection="1">
      <alignment horizontal="center" vertical="center" shrinkToFit="1"/>
    </xf>
    <xf numFmtId="166" fontId="38" fillId="23" borderId="22" xfId="0" applyNumberFormat="1" applyFont="1" applyFill="1" applyBorder="1" applyAlignment="1" applyProtection="1">
      <alignment horizontal="center" vertical="center" shrinkToFit="1"/>
    </xf>
    <xf numFmtId="166" fontId="38" fillId="23" borderId="23" xfId="0" applyNumberFormat="1" applyFont="1" applyFill="1" applyBorder="1" applyAlignment="1" applyProtection="1">
      <alignment horizontal="center" vertical="center" shrinkToFit="1"/>
    </xf>
    <xf numFmtId="166" fontId="38" fillId="23" borderId="24" xfId="0" applyNumberFormat="1" applyFont="1" applyFill="1" applyBorder="1" applyAlignment="1" applyProtection="1">
      <alignment horizontal="center" vertical="center" shrinkToFit="1"/>
    </xf>
    <xf numFmtId="166" fontId="38" fillId="23" borderId="25" xfId="0" applyNumberFormat="1" applyFont="1" applyFill="1" applyBorder="1" applyAlignment="1" applyProtection="1">
      <alignment horizontal="center" vertical="center" shrinkToFit="1"/>
    </xf>
    <xf numFmtId="166" fontId="38" fillId="23" borderId="26" xfId="0" applyNumberFormat="1" applyFont="1" applyFill="1" applyBorder="1" applyAlignment="1" applyProtection="1">
      <alignment horizontal="center" vertical="center" shrinkToFit="1"/>
    </xf>
    <xf numFmtId="166" fontId="38" fillId="23" borderId="27" xfId="0" applyNumberFormat="1" applyFont="1" applyFill="1" applyBorder="1" applyAlignment="1" applyProtection="1">
      <alignment horizontal="center" vertical="center" shrinkToFit="1"/>
    </xf>
    <xf numFmtId="166" fontId="38" fillId="23" borderId="28" xfId="0" applyNumberFormat="1" applyFont="1" applyFill="1" applyBorder="1" applyAlignment="1" applyProtection="1">
      <alignment horizontal="center" vertical="center" shrinkToFit="1"/>
    </xf>
    <xf numFmtId="166" fontId="38" fillId="23" borderId="29" xfId="0" applyNumberFormat="1" applyFont="1" applyFill="1" applyBorder="1" applyAlignment="1" applyProtection="1">
      <alignment horizontal="center" vertical="center" shrinkToFit="1"/>
    </xf>
    <xf numFmtId="166" fontId="38" fillId="23" borderId="30" xfId="0" applyNumberFormat="1" applyFont="1" applyFill="1" applyBorder="1" applyAlignment="1" applyProtection="1">
      <alignment horizontal="center" vertical="center" shrinkToFit="1"/>
    </xf>
    <xf numFmtId="166" fontId="38" fillId="23" borderId="31" xfId="0" applyNumberFormat="1" applyFont="1" applyFill="1" applyBorder="1" applyAlignment="1" applyProtection="1">
      <alignment horizontal="center" vertical="center" shrinkToFit="1"/>
    </xf>
    <xf numFmtId="166" fontId="38" fillId="23" borderId="32" xfId="0" applyNumberFormat="1" applyFont="1" applyFill="1" applyBorder="1" applyAlignment="1" applyProtection="1">
      <alignment horizontal="center" vertical="center" shrinkToFit="1"/>
    </xf>
    <xf numFmtId="166" fontId="38" fillId="23" borderId="33" xfId="0" applyNumberFormat="1" applyFont="1" applyFill="1" applyBorder="1" applyAlignment="1" applyProtection="1">
      <alignment horizontal="center" vertical="center" shrinkToFit="1"/>
    </xf>
    <xf numFmtId="166" fontId="38" fillId="23" borderId="34" xfId="0" applyNumberFormat="1" applyFont="1" applyFill="1" applyBorder="1" applyAlignment="1" applyProtection="1">
      <alignment horizontal="center" vertical="center" shrinkToFit="1"/>
    </xf>
    <xf numFmtId="0" fontId="29" fillId="20" borderId="12" xfId="0" applyFont="1" applyFill="1" applyBorder="1" applyAlignment="1" applyProtection="1">
      <alignment horizontal="left" vertical="center" indent="1"/>
    </xf>
    <xf numFmtId="0" fontId="29" fillId="20" borderId="10" xfId="0" applyFont="1" applyFill="1" applyBorder="1" applyAlignment="1" applyProtection="1">
      <alignment horizontal="left" vertical="center" indent="1"/>
    </xf>
    <xf numFmtId="165" fontId="45" fillId="20" borderId="10" xfId="0" applyNumberFormat="1" applyFont="1" applyFill="1" applyBorder="1" applyAlignment="1" applyProtection="1">
      <alignment horizontal="right" vertical="center"/>
    </xf>
    <xf numFmtId="165" fontId="46" fillId="20" borderId="10" xfId="0" applyNumberFormat="1" applyFont="1" applyFill="1" applyBorder="1" applyAlignment="1" applyProtection="1">
      <alignment horizontal="right" vertical="center"/>
    </xf>
    <xf numFmtId="0" fontId="37" fillId="27" borderId="14" xfId="0" applyFont="1" applyFill="1" applyBorder="1" applyAlignment="1" applyProtection="1">
      <alignment horizontal="right" vertical="center" wrapText="1"/>
    </xf>
    <xf numFmtId="165" fontId="46" fillId="21" borderId="11" xfId="0" applyNumberFormat="1" applyFont="1" applyFill="1" applyBorder="1" applyAlignment="1" applyProtection="1">
      <alignment horizontal="center" vertical="center"/>
    </xf>
    <xf numFmtId="165" fontId="45" fillId="20" borderId="10" xfId="0" applyNumberFormat="1" applyFont="1" applyFill="1" applyBorder="1" applyAlignment="1" applyProtection="1">
      <alignment horizontal="center" vertical="center"/>
    </xf>
    <xf numFmtId="165" fontId="46" fillId="20" borderId="10" xfId="0" applyNumberFormat="1" applyFont="1" applyFill="1" applyBorder="1" applyAlignment="1" applyProtection="1">
      <alignment horizontal="center" vertical="center"/>
    </xf>
    <xf numFmtId="165" fontId="47" fillId="0" borderId="11" xfId="0" applyNumberFormat="1" applyFont="1" applyFill="1" applyBorder="1" applyAlignment="1" applyProtection="1">
      <alignment horizontal="center" vertical="center"/>
    </xf>
    <xf numFmtId="0" fontId="47" fillId="0" borderId="10" xfId="0" applyFont="1" applyFill="1" applyBorder="1" applyAlignment="1" applyProtection="1">
      <alignment horizontal="left" vertical="center" wrapText="1" indent="1"/>
    </xf>
    <xf numFmtId="0" fontId="47" fillId="0" borderId="10" xfId="0" applyFont="1" applyFill="1" applyBorder="1" applyAlignment="1" applyProtection="1">
      <alignment vertical="center"/>
    </xf>
    <xf numFmtId="0" fontId="47" fillId="0" borderId="11" xfId="0" applyFont="1" applyBorder="1" applyAlignment="1" applyProtection="1">
      <alignment horizontal="center" vertical="center"/>
    </xf>
    <xf numFmtId="0" fontId="43" fillId="20" borderId="12" xfId="0" applyNumberFormat="1" applyFont="1" applyFill="1" applyBorder="1" applyAlignment="1" applyProtection="1">
      <alignment horizontal="left" vertical="center"/>
    </xf>
    <xf numFmtId="0" fontId="44" fillId="21" borderId="10" xfId="0" applyNumberFormat="1" applyFont="1" applyFill="1" applyBorder="1" applyAlignment="1" applyProtection="1">
      <alignment horizontal="left" vertical="center"/>
    </xf>
    <xf numFmtId="0" fontId="43" fillId="20" borderId="10" xfId="0" applyNumberFormat="1" applyFont="1" applyFill="1" applyBorder="1" applyAlignment="1" applyProtection="1">
      <alignment horizontal="left" vertical="center"/>
    </xf>
    <xf numFmtId="1" fontId="48" fillId="20" borderId="12" xfId="0" applyNumberFormat="1" applyFont="1" applyFill="1" applyBorder="1" applyAlignment="1" applyProtection="1">
      <alignment horizontal="center" vertical="center"/>
    </xf>
    <xf numFmtId="1" fontId="48" fillId="20" borderId="10" xfId="0" applyNumberFormat="1" applyFont="1" applyFill="1" applyBorder="1" applyAlignment="1" applyProtection="1">
      <alignment horizontal="center" vertical="center"/>
    </xf>
    <xf numFmtId="0" fontId="50" fillId="23" borderId="0" xfId="0" applyNumberFormat="1" applyFont="1" applyFill="1" applyBorder="1" applyProtection="1"/>
    <xf numFmtId="0" fontId="51" fillId="23" borderId="0" xfId="0" applyNumberFormat="1" applyFont="1" applyFill="1" applyBorder="1" applyAlignment="1" applyProtection="1">
      <alignment vertical="center"/>
      <protection locked="0"/>
    </xf>
    <xf numFmtId="0" fontId="52" fillId="23" borderId="0" xfId="34" applyNumberFormat="1" applyFont="1" applyFill="1" applyBorder="1" applyAlignment="1" applyProtection="1">
      <alignment horizontal="right" vertical="center"/>
      <protection locked="0"/>
    </xf>
    <xf numFmtId="0" fontId="51" fillId="23" borderId="0" xfId="0" applyFont="1" applyFill="1" applyBorder="1" applyAlignment="1" applyProtection="1">
      <alignment vertical="center"/>
      <protection locked="0"/>
    </xf>
    <xf numFmtId="0" fontId="53" fillId="23" borderId="0" xfId="0" applyFont="1" applyFill="1" applyBorder="1" applyAlignment="1" applyProtection="1">
      <alignment vertical="center"/>
      <protection locked="0"/>
    </xf>
    <xf numFmtId="0" fontId="54" fillId="23" borderId="0" xfId="0" applyFont="1" applyFill="1" applyBorder="1" applyAlignment="1" applyProtection="1">
      <alignment vertical="center"/>
    </xf>
    <xf numFmtId="1" fontId="46" fillId="21" borderId="11" xfId="0" applyNumberFormat="1" applyFont="1" applyFill="1" applyBorder="1" applyAlignment="1" applyProtection="1">
      <alignment horizontal="right" vertical="center" indent="1"/>
    </xf>
    <xf numFmtId="1" fontId="46" fillId="20" borderId="10" xfId="0" applyNumberFormat="1" applyFont="1" applyFill="1" applyBorder="1" applyAlignment="1" applyProtection="1">
      <alignment horizontal="right" vertical="center" indent="1"/>
    </xf>
    <xf numFmtId="1" fontId="46" fillId="20" borderId="12" xfId="0" applyNumberFormat="1" applyFont="1" applyFill="1" applyBorder="1" applyAlignment="1" applyProtection="1">
      <alignment horizontal="center" vertical="center"/>
    </xf>
    <xf numFmtId="0" fontId="55" fillId="23" borderId="0" xfId="0" applyFont="1" applyFill="1" applyBorder="1" applyProtection="1"/>
    <xf numFmtId="0" fontId="56" fillId="23" borderId="0" xfId="0" applyFont="1" applyFill="1" applyAlignment="1" applyProtection="1">
      <alignment vertical="center"/>
    </xf>
    <xf numFmtId="0" fontId="55" fillId="23" borderId="0" xfId="0" applyNumberFormat="1" applyFont="1" applyFill="1" applyBorder="1" applyProtection="1"/>
    <xf numFmtId="0" fontId="56" fillId="23" borderId="0" xfId="0" applyNumberFormat="1" applyFont="1" applyFill="1" applyBorder="1" applyAlignment="1" applyProtection="1">
      <alignment vertical="center"/>
    </xf>
    <xf numFmtId="0" fontId="58" fillId="25" borderId="0" xfId="0" applyNumberFormat="1" applyFont="1" applyFill="1" applyBorder="1" applyAlignment="1" applyProtection="1">
      <alignment horizontal="left" vertical="center" indent="1"/>
      <protection locked="0"/>
    </xf>
    <xf numFmtId="0" fontId="57" fillId="23" borderId="0" xfId="0" applyFont="1" applyFill="1" applyBorder="1" applyAlignment="1" applyProtection="1">
      <alignment horizontal="right" vertical="center" indent="1"/>
    </xf>
    <xf numFmtId="0" fontId="57" fillId="22" borderId="35" xfId="0" applyNumberFormat="1" applyFont="1" applyFill="1" applyBorder="1" applyAlignment="1" applyProtection="1">
      <alignment horizontal="center" vertical="center"/>
      <protection locked="0"/>
    </xf>
    <xf numFmtId="0" fontId="59" fillId="23" borderId="39" xfId="0" applyNumberFormat="1" applyFont="1" applyFill="1" applyBorder="1" applyAlignment="1" applyProtection="1">
      <alignment vertical="center"/>
    </xf>
    <xf numFmtId="0" fontId="59" fillId="23" borderId="0" xfId="0" applyNumberFormat="1" applyFont="1" applyFill="1" applyBorder="1" applyAlignment="1" applyProtection="1">
      <alignment vertical="center"/>
    </xf>
    <xf numFmtId="0" fontId="59" fillId="23" borderId="40" xfId="0" applyNumberFormat="1" applyFont="1" applyFill="1" applyBorder="1" applyAlignment="1" applyProtection="1">
      <alignment vertical="center"/>
    </xf>
    <xf numFmtId="0" fontId="60" fillId="24" borderId="0" xfId="0" applyNumberFormat="1" applyFont="1" applyFill="1" applyBorder="1" applyAlignment="1" applyProtection="1">
      <alignment horizontal="left" vertical="center" indent="1"/>
      <protection locked="0"/>
    </xf>
    <xf numFmtId="0" fontId="34" fillId="24" borderId="0" xfId="0" applyFont="1" applyFill="1" applyAlignment="1" applyProtection="1">
      <alignment horizontal="center" vertical="center"/>
    </xf>
    <xf numFmtId="0" fontId="28" fillId="21" borderId="10" xfId="0" applyFont="1" applyFill="1" applyBorder="1" applyAlignment="1" applyProtection="1">
      <alignment horizontal="center" vertical="center"/>
    </xf>
    <xf numFmtId="1" fontId="49" fillId="27" borderId="11" xfId="0" applyNumberFormat="1" applyFont="1" applyFill="1" applyBorder="1" applyAlignment="1" applyProtection="1">
      <alignment horizontal="center" vertical="center"/>
    </xf>
    <xf numFmtId="0" fontId="28" fillId="28" borderId="10" xfId="0" applyFont="1" applyFill="1" applyBorder="1" applyAlignment="1" applyProtection="1">
      <alignment horizontal="center" vertical="center"/>
    </xf>
    <xf numFmtId="0" fontId="28" fillId="22" borderId="10" xfId="0" applyFont="1" applyFill="1" applyBorder="1" applyAlignment="1" applyProtection="1">
      <alignment horizontal="center" vertical="center"/>
    </xf>
    <xf numFmtId="0" fontId="28" fillId="28" borderId="10" xfId="0" applyFont="1" applyFill="1" applyBorder="1" applyAlignment="1" applyProtection="1">
      <alignment vertical="center"/>
    </xf>
    <xf numFmtId="0" fontId="28" fillId="22" borderId="10" xfId="0" applyFont="1" applyFill="1" applyBorder="1" applyAlignment="1" applyProtection="1">
      <alignment vertical="center"/>
    </xf>
    <xf numFmtId="0" fontId="61" fillId="24" borderId="0" xfId="34" applyFont="1" applyFill="1" applyAlignment="1" applyProtection="1">
      <alignment horizontal="left" vertical="center"/>
    </xf>
    <xf numFmtId="0" fontId="57" fillId="23" borderId="25" xfId="0" applyNumberFormat="1" applyFont="1" applyFill="1" applyBorder="1" applyAlignment="1" applyProtection="1">
      <alignment horizontal="center" vertical="center"/>
    </xf>
    <xf numFmtId="0" fontId="57" fillId="23" borderId="13" xfId="0" applyNumberFormat="1" applyFont="1" applyFill="1" applyBorder="1" applyAlignment="1" applyProtection="1">
      <alignment horizontal="center" vertical="center"/>
    </xf>
    <xf numFmtId="0" fontId="57" fillId="23" borderId="26" xfId="0" applyNumberFormat="1" applyFont="1" applyFill="1" applyBorder="1" applyAlignment="1" applyProtection="1">
      <alignment horizontal="center" vertical="center"/>
    </xf>
    <xf numFmtId="167" fontId="40" fillId="23" borderId="25" xfId="0" applyNumberFormat="1" applyFont="1" applyFill="1" applyBorder="1" applyAlignment="1" applyProtection="1">
      <alignment horizontal="center" vertical="center"/>
    </xf>
    <xf numFmtId="167" fontId="40" fillId="23" borderId="13" xfId="0" applyNumberFormat="1" applyFont="1" applyFill="1" applyBorder="1" applyAlignment="1" applyProtection="1">
      <alignment horizontal="center" vertical="center"/>
    </xf>
    <xf numFmtId="167" fontId="40" fillId="23" borderId="26" xfId="0" applyNumberFormat="1" applyFont="1" applyFill="1" applyBorder="1" applyAlignment="1" applyProtection="1">
      <alignment horizontal="center" vertical="center"/>
    </xf>
    <xf numFmtId="0" fontId="57" fillId="23" borderId="20" xfId="0" applyNumberFormat="1" applyFont="1" applyFill="1" applyBorder="1" applyAlignment="1" applyProtection="1">
      <alignment horizontal="center" vertical="center"/>
    </xf>
    <xf numFmtId="0" fontId="57" fillId="23" borderId="22" xfId="0" applyNumberFormat="1" applyFont="1" applyFill="1" applyBorder="1" applyAlignment="1" applyProtection="1">
      <alignment horizontal="center" vertical="center"/>
    </xf>
    <xf numFmtId="164" fontId="57" fillId="22" borderId="36" xfId="0" applyNumberFormat="1" applyFont="1" applyFill="1" applyBorder="1" applyAlignment="1" applyProtection="1">
      <alignment horizontal="center" vertical="center" shrinkToFit="1"/>
      <protection locked="0"/>
    </xf>
    <xf numFmtId="164" fontId="57" fillId="22" borderId="37" xfId="0" applyNumberFormat="1" applyFont="1" applyFill="1" applyBorder="1" applyAlignment="1" applyProtection="1">
      <alignment horizontal="center" vertical="center" shrinkToFit="1"/>
      <protection locked="0"/>
    </xf>
    <xf numFmtId="164" fontId="57" fillId="22" borderId="38" xfId="0" applyNumberFormat="1" applyFont="1" applyFill="1" applyBorder="1" applyAlignment="1" applyProtection="1">
      <alignment horizontal="center" vertical="center" shrinkToFit="1"/>
      <protection locked="0"/>
    </xf>
    <xf numFmtId="0" fontId="57" fillId="23" borderId="21" xfId="0" applyNumberFormat="1" applyFont="1" applyFill="1" applyBorder="1" applyAlignment="1" applyProtection="1">
      <alignment horizontal="center" vertical="center"/>
    </xf>
    <xf numFmtId="167" fontId="40" fillId="23" borderId="20" xfId="0" applyNumberFormat="1" applyFont="1" applyFill="1" applyBorder="1" applyAlignment="1" applyProtection="1">
      <alignment horizontal="center" vertical="center"/>
    </xf>
    <xf numFmtId="167" fontId="40" fillId="23" borderId="22" xfId="0" applyNumberFormat="1" applyFont="1" applyFill="1" applyBorder="1" applyAlignment="1" applyProtection="1">
      <alignment horizontal="center" vertical="center"/>
    </xf>
    <xf numFmtId="167" fontId="40" fillId="23" borderId="21" xfId="0" applyNumberFormat="1" applyFont="1" applyFill="1" applyBorder="1" applyAlignment="1" applyProtection="1">
      <alignment horizontal="center" vertical="center"/>
    </xf>
    <xf numFmtId="0" fontId="57" fillId="23" borderId="23" xfId="0" applyNumberFormat="1" applyFont="1" applyFill="1" applyBorder="1" applyAlignment="1" applyProtection="1">
      <alignment horizontal="center" vertical="center"/>
    </xf>
    <xf numFmtId="0" fontId="57" fillId="23" borderId="24" xfId="0" applyNumberFormat="1" applyFont="1" applyFill="1" applyBorder="1" applyAlignment="1" applyProtection="1">
      <alignment horizontal="center" vertical="center"/>
    </xf>
    <xf numFmtId="167" fontId="40" fillId="23" borderId="23" xfId="0" applyNumberFormat="1" applyFont="1" applyFill="1" applyBorder="1" applyAlignment="1" applyProtection="1">
      <alignment horizontal="center" vertical="center"/>
    </xf>
    <xf numFmtId="167" fontId="40" fillId="23" borderId="24" xfId="0" applyNumberFormat="1" applyFont="1" applyFill="1" applyBorder="1" applyAlignment="1" applyProtection="1">
      <alignment horizontal="center" vertical="center"/>
    </xf>
    <xf numFmtId="0" fontId="57" fillId="23" borderId="33" xfId="0" applyNumberFormat="1" applyFont="1" applyFill="1" applyBorder="1" applyAlignment="1" applyProtection="1">
      <alignment horizontal="center" vertical="center"/>
    </xf>
    <xf numFmtId="0" fontId="57" fillId="23" borderId="34" xfId="0" applyNumberFormat="1" applyFont="1" applyFill="1" applyBorder="1" applyAlignment="1" applyProtection="1">
      <alignment horizontal="center" vertical="center"/>
    </xf>
    <xf numFmtId="167" fontId="40" fillId="23" borderId="33" xfId="0" applyNumberFormat="1" applyFont="1" applyFill="1" applyBorder="1" applyAlignment="1" applyProtection="1">
      <alignment horizontal="center" vertical="center"/>
    </xf>
    <xf numFmtId="167" fontId="40" fillId="23" borderId="34" xfId="0" applyNumberFormat="1" applyFont="1" applyFill="1" applyBorder="1" applyAlignment="1" applyProtection="1">
      <alignment horizontal="center" vertical="center"/>
    </xf>
    <xf numFmtId="167" fontId="40" fillId="23" borderId="27" xfId="0" applyNumberFormat="1" applyFont="1" applyFill="1" applyBorder="1" applyAlignment="1" applyProtection="1">
      <alignment horizontal="center" vertical="center"/>
    </xf>
    <xf numFmtId="167" fontId="40" fillId="23" borderId="28" xfId="0" applyNumberFormat="1" applyFont="1" applyFill="1" applyBorder="1" applyAlignment="1" applyProtection="1">
      <alignment horizontal="center" vertical="center"/>
    </xf>
    <xf numFmtId="0" fontId="57" fillId="23" borderId="29" xfId="0" applyNumberFormat="1" applyFont="1" applyFill="1" applyBorder="1" applyAlignment="1" applyProtection="1">
      <alignment horizontal="center" vertical="center"/>
    </xf>
    <xf numFmtId="0" fontId="57" fillId="23" borderId="30" xfId="0" applyNumberFormat="1" applyFont="1" applyFill="1" applyBorder="1" applyAlignment="1" applyProtection="1">
      <alignment horizontal="center" vertical="center"/>
    </xf>
    <xf numFmtId="167" fontId="40" fillId="23" borderId="29" xfId="0" applyNumberFormat="1" applyFont="1" applyFill="1" applyBorder="1" applyAlignment="1" applyProtection="1">
      <alignment horizontal="center" vertical="center"/>
    </xf>
    <xf numFmtId="167" fontId="40" fillId="23" borderId="30" xfId="0" applyNumberFormat="1" applyFont="1" applyFill="1" applyBorder="1" applyAlignment="1" applyProtection="1">
      <alignment horizontal="center" vertical="center"/>
    </xf>
    <xf numFmtId="0" fontId="57" fillId="23" borderId="27" xfId="0" applyNumberFormat="1" applyFont="1" applyFill="1" applyBorder="1" applyAlignment="1" applyProtection="1">
      <alignment horizontal="center" vertical="center"/>
    </xf>
    <xf numFmtId="0" fontId="57" fillId="23" borderId="28" xfId="0" applyNumberFormat="1" applyFont="1" applyFill="1" applyBorder="1" applyAlignment="1" applyProtection="1">
      <alignment horizontal="center" vertical="center"/>
    </xf>
    <xf numFmtId="0" fontId="57" fillId="23" borderId="31" xfId="0" applyNumberFormat="1" applyFont="1" applyFill="1" applyBorder="1" applyAlignment="1" applyProtection="1">
      <alignment horizontal="center" vertical="center"/>
    </xf>
    <xf numFmtId="0" fontId="57" fillId="23" borderId="32" xfId="0" applyNumberFormat="1" applyFont="1" applyFill="1" applyBorder="1" applyAlignment="1" applyProtection="1">
      <alignment horizontal="center" vertical="center"/>
    </xf>
    <xf numFmtId="167" fontId="40" fillId="23" borderId="31" xfId="0" applyNumberFormat="1" applyFont="1" applyFill="1" applyBorder="1" applyAlignment="1" applyProtection="1">
      <alignment horizontal="center" vertical="center"/>
    </xf>
    <xf numFmtId="167" fontId="40" fillId="23" borderId="32" xfId="0" applyNumberFormat="1" applyFont="1" applyFill="1" applyBorder="1" applyAlignment="1" applyProtection="1">
      <alignment horizontal="center" vertical="center"/>
    </xf>
  </cellXfs>
  <cellStyles count="44">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5" builtinId="20" customBuiltin="1"/>
    <cellStyle name="Вывод" xfId="39" builtinId="21" customBuiltin="1"/>
    <cellStyle name="Вычисление" xfId="26" builtinId="22" customBuiltin="1"/>
    <cellStyle name="Гиперссылка" xfId="34"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42" builtinId="25" customBuiltin="1"/>
    <cellStyle name="Контрольная ячейка" xfId="27" builtinId="23" customBuiltin="1"/>
    <cellStyle name="Название" xfId="41" builtinId="15" customBuiltin="1"/>
    <cellStyle name="Нейтральный" xfId="37" builtinId="28" customBuiltin="1"/>
    <cellStyle name="Обычный" xfId="0" builtinId="0"/>
    <cellStyle name="Плохой" xfId="25" builtinId="27" customBuiltin="1"/>
    <cellStyle name="Пояснение" xfId="28" builtinId="53" customBuiltin="1"/>
    <cellStyle name="Примечание" xfId="38" builtinId="10" customBuiltin="1"/>
    <cellStyle name="Процентный" xfId="40" builtinId="5"/>
    <cellStyle name="Связанная ячейка" xfId="36" builtinId="24" customBuiltin="1"/>
    <cellStyle name="Текст предупреждения" xfId="43" builtinId="11" customBuiltin="1"/>
    <cellStyle name="Хороший" xfId="29" builtinId="26" customBuiltin="1"/>
  </cellStyles>
  <dxfs count="16">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alcChain" Target="calcChain.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033766031"/>
        <c:axId val="64752431"/>
      </c:barChart>
      <c:catAx>
        <c:axId val="20337660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64752431"/>
        <c:crosses val="autoZero"/>
        <c:auto val="1"/>
        <c:lblAlgn val="ctr"/>
        <c:lblOffset val="100"/>
        <c:noMultiLvlLbl val="0"/>
      </c:catAx>
      <c:valAx>
        <c:axId val="6475243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203376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36540591"/>
        <c:axId val="73443647"/>
      </c:barChart>
      <c:catAx>
        <c:axId val="19365405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3443647"/>
        <c:crosses val="autoZero"/>
        <c:auto val="1"/>
        <c:lblAlgn val="ctr"/>
        <c:lblOffset val="100"/>
        <c:noMultiLvlLbl val="0"/>
      </c:catAx>
      <c:valAx>
        <c:axId val="7344364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193654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UA"/>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3369F0-8EE8-408E-9541-1319D252D12D}">
  <sheetPr/>
  <sheetViews>
    <sheetView zoomScale="90"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82863F6-7BF8-46FE-B59D-119CE017236B}">
  <sheetPr/>
  <sheetViews>
    <sheetView zoomScale="90" workbookViewId="0" zoomToFit="1"/>
  </sheetViews>
  <pageMargins left="0.7" right="0.7" top="0.75" bottom="0.75" header="0.3" footer="0.3"/>
  <drawing r:id="rId1"/>
</chartsheet>
</file>

<file path=xl/ctrlProps/ctrlProp1.xml><?xml version="1.0" encoding="utf-8"?>
<formControlPr xmlns="http://schemas.microsoft.com/office/spreadsheetml/2009/9/main" objectType="Scroll" dx="22" fmlaLink="$I$4" horiz="1" max="100" min="1" page="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Диаграмма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6400" cy="6070600"/>
    <xdr:graphicFrame macro="">
      <xdr:nvGraphicFramePr>
        <xdr:cNvPr id="2" name="Диаграмма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absolute">
    <xdr:from>
      <xdr:col>8</xdr:col>
      <xdr:colOff>180975</xdr:colOff>
      <xdr:row>5</xdr:row>
      <xdr:rowOff>104775</xdr:rowOff>
    </xdr:from>
    <xdr:to>
      <xdr:col>29</xdr:col>
      <xdr:colOff>38100</xdr:colOff>
      <xdr:row>9</xdr:row>
      <xdr:rowOff>81915</xdr:rowOff>
    </xdr:to>
    <xdr:sp macro="" textlink="">
      <xdr:nvSpPr>
        <xdr:cNvPr id="8236" name="Text Box 44" hidden="1">
          <a:extLst>
            <a:ext uri="{FF2B5EF4-FFF2-40B4-BE49-F238E27FC236}">
              <a16:creationId xmlns:a16="http://schemas.microsoft.com/office/drawing/2014/main" id="{00000000-0008-0000-02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7620</xdr:colOff>
          <xdr:row>1</xdr:row>
          <xdr:rowOff>38100</xdr:rowOff>
        </xdr:from>
        <xdr:to>
          <xdr:col>73</xdr:col>
          <xdr:colOff>190500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2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T46"/>
  <sheetViews>
    <sheetView showGridLines="0" showRowColHeaders="0" tabSelected="1" zoomScale="75" zoomScaleNormal="75" workbookViewId="0">
      <pane ySplit="7" topLeftCell="A33" activePane="bottomLeft" state="frozen"/>
      <selection pane="bottomLeft" activeCell="O53" sqref="O53"/>
    </sheetView>
  </sheetViews>
  <sheetFormatPr defaultColWidth="9.109375" defaultRowHeight="13.2" x14ac:dyDescent="0.25"/>
  <cols>
    <col min="1" max="1" width="5.88671875" style="3" customWidth="1"/>
    <col min="2" max="2" width="21.109375" style="1" customWidth="1"/>
    <col min="3" max="3" width="7.88671875" style="1" customWidth="1"/>
    <col min="4" max="4" width="6.88671875" style="4" hidden="1" customWidth="1"/>
    <col min="5" max="6" width="12" style="1" customWidth="1"/>
    <col min="7" max="7" width="6" style="1" customWidth="1"/>
    <col min="8" max="8" width="6.6640625" style="1" customWidth="1"/>
    <col min="9" max="9" width="5.88671875" style="1" customWidth="1"/>
    <col min="10" max="10" width="1.44140625" style="1" customWidth="1"/>
    <col min="11" max="66" width="2.44140625" style="1" customWidth="1"/>
    <col min="67" max="16384" width="9.109375" style="2"/>
  </cols>
  <sheetData>
    <row r="1" spans="1:150" s="23" customFormat="1" ht="33" customHeight="1" x14ac:dyDescent="0.25">
      <c r="A1" s="102" t="s">
        <v>12</v>
      </c>
      <c r="B1" s="20"/>
      <c r="C1" s="20"/>
      <c r="D1" s="20"/>
      <c r="E1" s="20"/>
      <c r="F1" s="20"/>
      <c r="G1" s="103"/>
      <c r="H1" s="21"/>
      <c r="I1" s="21"/>
      <c r="J1" s="21"/>
      <c r="K1" s="22"/>
      <c r="L1" s="21"/>
      <c r="M1" s="21"/>
      <c r="N1" s="21"/>
      <c r="O1" s="21"/>
      <c r="P1" s="21"/>
      <c r="Q1" s="21"/>
      <c r="R1" s="21"/>
      <c r="S1" s="21"/>
      <c r="T1" s="21"/>
      <c r="U1" s="21"/>
      <c r="V1" s="21"/>
      <c r="W1" s="21"/>
      <c r="X1" s="21"/>
      <c r="Y1" s="21"/>
      <c r="Z1" s="21"/>
      <c r="AA1" s="21"/>
      <c r="AB1" s="21"/>
      <c r="AC1" s="21"/>
      <c r="AD1" s="110"/>
      <c r="AE1" s="110"/>
      <c r="AF1" s="110"/>
      <c r="AG1" s="110"/>
      <c r="AH1" s="110"/>
      <c r="AI1" s="110"/>
      <c r="AJ1" s="110"/>
      <c r="AK1" s="110"/>
      <c r="AL1" s="110"/>
      <c r="AM1" s="110"/>
      <c r="AN1" s="110"/>
      <c r="AO1" s="110"/>
      <c r="AP1" s="110"/>
      <c r="AQ1" s="110"/>
      <c r="AR1" s="110"/>
      <c r="AS1" s="21"/>
      <c r="AT1" s="21"/>
      <c r="AU1" s="21"/>
      <c r="AV1" s="21"/>
      <c r="AW1" s="21"/>
      <c r="AX1" s="21"/>
      <c r="AY1" s="21"/>
      <c r="AZ1" s="21"/>
      <c r="BA1" s="21"/>
      <c r="BB1" s="21"/>
      <c r="BC1" s="21"/>
      <c r="BD1" s="21"/>
      <c r="BE1" s="21"/>
      <c r="BF1" s="21"/>
      <c r="BG1" s="21"/>
      <c r="BH1" s="21"/>
      <c r="BI1" s="21"/>
      <c r="BJ1" s="21"/>
      <c r="BK1" s="21"/>
      <c r="BL1" s="21"/>
      <c r="BM1" s="21"/>
      <c r="BN1" s="21"/>
    </row>
    <row r="2" spans="1:150" s="46" customFormat="1" ht="21" customHeight="1" x14ac:dyDescent="0.25">
      <c r="A2" s="96"/>
      <c r="B2" s="42"/>
      <c r="C2" s="42"/>
      <c r="D2" s="43"/>
      <c r="E2" s="44"/>
      <c r="F2" s="45"/>
    </row>
    <row r="3" spans="1:150" s="88" customFormat="1" ht="6.75" customHeight="1" thickBot="1" x14ac:dyDescent="0.25">
      <c r="A3" s="83"/>
      <c r="B3" s="84"/>
      <c r="C3" s="84"/>
      <c r="D3" s="85"/>
      <c r="E3" s="86"/>
      <c r="F3" s="87"/>
      <c r="K3" s="99"/>
      <c r="L3" s="100"/>
      <c r="M3" s="100"/>
      <c r="N3" s="100"/>
      <c r="O3" s="100"/>
      <c r="P3" s="100"/>
      <c r="Q3" s="101"/>
      <c r="R3" s="99"/>
      <c r="S3" s="100"/>
      <c r="T3" s="100"/>
      <c r="U3" s="100"/>
      <c r="V3" s="100"/>
      <c r="W3" s="100"/>
      <c r="X3" s="101"/>
      <c r="Y3" s="99"/>
      <c r="Z3" s="100"/>
      <c r="AA3" s="100"/>
      <c r="AB3" s="100"/>
      <c r="AC3" s="100"/>
      <c r="AD3" s="100"/>
      <c r="AE3" s="101"/>
      <c r="AF3" s="99"/>
      <c r="AG3" s="100"/>
      <c r="AH3" s="100"/>
      <c r="AI3" s="100"/>
      <c r="AJ3" s="100"/>
      <c r="AK3" s="100"/>
      <c r="AL3" s="101"/>
      <c r="AM3" s="99"/>
      <c r="AN3" s="100"/>
      <c r="AO3" s="100"/>
      <c r="AP3" s="100"/>
      <c r="AQ3" s="100"/>
      <c r="AR3" s="100"/>
      <c r="AS3" s="101"/>
      <c r="AT3" s="99"/>
      <c r="AU3" s="100"/>
      <c r="AV3" s="100"/>
      <c r="AW3" s="100"/>
      <c r="AX3" s="100"/>
      <c r="AY3" s="100"/>
      <c r="AZ3" s="101"/>
      <c r="BA3" s="99"/>
      <c r="BB3" s="100"/>
      <c r="BC3" s="100"/>
      <c r="BD3" s="100"/>
      <c r="BE3" s="100"/>
      <c r="BF3" s="100"/>
      <c r="BG3" s="101"/>
      <c r="BH3" s="99"/>
      <c r="BI3" s="100"/>
      <c r="BJ3" s="100"/>
      <c r="BK3" s="100"/>
      <c r="BL3" s="100"/>
      <c r="BM3" s="100"/>
      <c r="BN3" s="101"/>
    </row>
    <row r="4" spans="1:150" s="92" customFormat="1" ht="19.5" customHeight="1" thickBot="1" x14ac:dyDescent="0.3">
      <c r="A4" s="94"/>
      <c r="B4" s="97" t="s">
        <v>11</v>
      </c>
      <c r="C4" s="119">
        <v>43771</v>
      </c>
      <c r="D4" s="120"/>
      <c r="E4" s="121"/>
      <c r="H4" s="97" t="s">
        <v>9</v>
      </c>
      <c r="I4" s="98">
        <v>1</v>
      </c>
      <c r="K4" s="117" t="str">
        <f>"Week "&amp;(K6-($C$4-WEEKDAY($C$4,1)+2))/7+1</f>
        <v>Week 1</v>
      </c>
      <c r="L4" s="112"/>
      <c r="M4" s="112"/>
      <c r="N4" s="112"/>
      <c r="O4" s="112"/>
      <c r="P4" s="112"/>
      <c r="Q4" s="122"/>
      <c r="R4" s="117" t="str">
        <f>"Week "&amp;(R6-($C$4-WEEKDAY($C$4,1)+2))/7+1</f>
        <v>Week 2</v>
      </c>
      <c r="S4" s="112"/>
      <c r="T4" s="112"/>
      <c r="U4" s="112"/>
      <c r="V4" s="112"/>
      <c r="W4" s="112"/>
      <c r="X4" s="118"/>
      <c r="Y4" s="126" t="str">
        <f>"Week "&amp;(Y6-($C$4-WEEKDAY($C$4,1)+2))/7+1</f>
        <v>Week 3</v>
      </c>
      <c r="Z4" s="112"/>
      <c r="AA4" s="112"/>
      <c r="AB4" s="112"/>
      <c r="AC4" s="112"/>
      <c r="AD4" s="112"/>
      <c r="AE4" s="127"/>
      <c r="AF4" s="111" t="str">
        <f>"Week "&amp;(AF6-($C$4-WEEKDAY($C$4,1)+2))/7+1</f>
        <v>Week 4</v>
      </c>
      <c r="AG4" s="112"/>
      <c r="AH4" s="112"/>
      <c r="AI4" s="112"/>
      <c r="AJ4" s="112"/>
      <c r="AK4" s="112"/>
      <c r="AL4" s="113"/>
      <c r="AM4" s="140" t="str">
        <f>"Week "&amp;(AM6-($C$4-WEEKDAY($C$4,1)+2))/7+1</f>
        <v>Week 5</v>
      </c>
      <c r="AN4" s="112"/>
      <c r="AO4" s="112"/>
      <c r="AP4" s="112"/>
      <c r="AQ4" s="112"/>
      <c r="AR4" s="112"/>
      <c r="AS4" s="141"/>
      <c r="AT4" s="136" t="str">
        <f>"Week "&amp;(AT6-($C$4-WEEKDAY($C$4,1)+2))/7+1</f>
        <v>Week 6</v>
      </c>
      <c r="AU4" s="112"/>
      <c r="AV4" s="112"/>
      <c r="AW4" s="112"/>
      <c r="AX4" s="112"/>
      <c r="AY4" s="112"/>
      <c r="AZ4" s="137"/>
      <c r="BA4" s="142" t="str">
        <f>"Week "&amp;(BA6-($C$4-WEEKDAY($C$4,1)+2))/7+1</f>
        <v>Week 7</v>
      </c>
      <c r="BB4" s="112"/>
      <c r="BC4" s="112"/>
      <c r="BD4" s="112"/>
      <c r="BE4" s="112"/>
      <c r="BF4" s="112"/>
      <c r="BG4" s="143"/>
      <c r="BH4" s="130" t="str">
        <f>"Week "&amp;(BH6-($C$4-WEEKDAY($C$4,1)+2))/7+1</f>
        <v>Week 8</v>
      </c>
      <c r="BI4" s="112"/>
      <c r="BJ4" s="112"/>
      <c r="BK4" s="112"/>
      <c r="BL4" s="112"/>
      <c r="BM4" s="112"/>
      <c r="BN4" s="131"/>
    </row>
    <row r="5" spans="1:150" s="41" customFormat="1" ht="19.5" customHeight="1" thickBot="1" x14ac:dyDescent="0.3">
      <c r="A5" s="95"/>
      <c r="B5" s="97" t="s">
        <v>10</v>
      </c>
      <c r="C5" s="119" t="s">
        <v>15</v>
      </c>
      <c r="D5" s="120"/>
      <c r="E5" s="121"/>
      <c r="F5" s="93"/>
      <c r="G5" s="93"/>
      <c r="H5" s="93"/>
      <c r="I5" s="93"/>
      <c r="J5" s="40"/>
      <c r="K5" s="123">
        <f>K6</f>
        <v>43766</v>
      </c>
      <c r="L5" s="115"/>
      <c r="M5" s="115"/>
      <c r="N5" s="115"/>
      <c r="O5" s="115"/>
      <c r="P5" s="115"/>
      <c r="Q5" s="125"/>
      <c r="R5" s="123">
        <f>R6</f>
        <v>43773</v>
      </c>
      <c r="S5" s="115"/>
      <c r="T5" s="115"/>
      <c r="U5" s="115"/>
      <c r="V5" s="115"/>
      <c r="W5" s="115"/>
      <c r="X5" s="124"/>
      <c r="Y5" s="128">
        <f>Y6</f>
        <v>43780</v>
      </c>
      <c r="Z5" s="115"/>
      <c r="AA5" s="115"/>
      <c r="AB5" s="115"/>
      <c r="AC5" s="115"/>
      <c r="AD5" s="115"/>
      <c r="AE5" s="129"/>
      <c r="AF5" s="114">
        <f>AF6</f>
        <v>43787</v>
      </c>
      <c r="AG5" s="115"/>
      <c r="AH5" s="115"/>
      <c r="AI5" s="115"/>
      <c r="AJ5" s="115"/>
      <c r="AK5" s="115"/>
      <c r="AL5" s="116"/>
      <c r="AM5" s="134">
        <f>AM6</f>
        <v>43794</v>
      </c>
      <c r="AN5" s="115"/>
      <c r="AO5" s="115"/>
      <c r="AP5" s="115"/>
      <c r="AQ5" s="115"/>
      <c r="AR5" s="115"/>
      <c r="AS5" s="135"/>
      <c r="AT5" s="138">
        <f>AT6</f>
        <v>43801</v>
      </c>
      <c r="AU5" s="115"/>
      <c r="AV5" s="115"/>
      <c r="AW5" s="115"/>
      <c r="AX5" s="115"/>
      <c r="AY5" s="115"/>
      <c r="AZ5" s="139"/>
      <c r="BA5" s="144">
        <f>BA6</f>
        <v>43808</v>
      </c>
      <c r="BB5" s="115"/>
      <c r="BC5" s="115"/>
      <c r="BD5" s="115"/>
      <c r="BE5" s="115"/>
      <c r="BF5" s="115"/>
      <c r="BG5" s="145"/>
      <c r="BH5" s="132">
        <f>BH6</f>
        <v>43815</v>
      </c>
      <c r="BI5" s="115"/>
      <c r="BJ5" s="115"/>
      <c r="BK5" s="115"/>
      <c r="BL5" s="115"/>
      <c r="BM5" s="115"/>
      <c r="BN5" s="133"/>
    </row>
    <row r="6" spans="1:150" s="39" customFormat="1" ht="14.25" customHeight="1" x14ac:dyDescent="0.25">
      <c r="A6" s="35"/>
      <c r="B6" s="36"/>
      <c r="C6" s="36"/>
      <c r="D6" s="37"/>
      <c r="E6" s="36"/>
      <c r="F6" s="36"/>
      <c r="G6" s="36"/>
      <c r="H6" s="36"/>
      <c r="I6" s="36"/>
      <c r="J6" s="36"/>
      <c r="K6" s="51">
        <f>C4-WEEKDAY(C4,1)+2+7*(I4-1)</f>
        <v>43766</v>
      </c>
      <c r="L6" s="38">
        <f t="shared" ref="L6:AQ6" si="0">K6+1</f>
        <v>43767</v>
      </c>
      <c r="M6" s="38">
        <f t="shared" si="0"/>
        <v>43768</v>
      </c>
      <c r="N6" s="38">
        <f t="shared" si="0"/>
        <v>43769</v>
      </c>
      <c r="O6" s="38">
        <f t="shared" si="0"/>
        <v>43770</v>
      </c>
      <c r="P6" s="38">
        <f t="shared" si="0"/>
        <v>43771</v>
      </c>
      <c r="Q6" s="52">
        <f t="shared" si="0"/>
        <v>43772</v>
      </c>
      <c r="R6" s="51">
        <f t="shared" si="0"/>
        <v>43773</v>
      </c>
      <c r="S6" s="38">
        <f t="shared" si="0"/>
        <v>43774</v>
      </c>
      <c r="T6" s="38">
        <f t="shared" si="0"/>
        <v>43775</v>
      </c>
      <c r="U6" s="38">
        <f t="shared" ref="U6" si="1">T6+1</f>
        <v>43776</v>
      </c>
      <c r="V6" s="38">
        <f t="shared" ref="V6" si="2">U6+1</f>
        <v>43777</v>
      </c>
      <c r="W6" s="38">
        <f t="shared" ref="W6" si="3">V6+1</f>
        <v>43778</v>
      </c>
      <c r="X6" s="53">
        <f t="shared" si="0"/>
        <v>43779</v>
      </c>
      <c r="Y6" s="54">
        <f t="shared" si="0"/>
        <v>43780</v>
      </c>
      <c r="Z6" s="38">
        <f t="shared" si="0"/>
        <v>43781</v>
      </c>
      <c r="AA6" s="38">
        <f t="shared" si="0"/>
        <v>43782</v>
      </c>
      <c r="AB6" s="38">
        <f t="shared" si="0"/>
        <v>43783</v>
      </c>
      <c r="AC6" s="38">
        <f t="shared" si="0"/>
        <v>43784</v>
      </c>
      <c r="AD6" s="38">
        <f t="shared" si="0"/>
        <v>43785</v>
      </c>
      <c r="AE6" s="55">
        <f t="shared" si="0"/>
        <v>43786</v>
      </c>
      <c r="AF6" s="56">
        <f t="shared" si="0"/>
        <v>43787</v>
      </c>
      <c r="AG6" s="38">
        <f t="shared" si="0"/>
        <v>43788</v>
      </c>
      <c r="AH6" s="38">
        <f t="shared" si="0"/>
        <v>43789</v>
      </c>
      <c r="AI6" s="38">
        <f t="shared" si="0"/>
        <v>43790</v>
      </c>
      <c r="AJ6" s="38">
        <f t="shared" si="0"/>
        <v>43791</v>
      </c>
      <c r="AK6" s="38">
        <f t="shared" si="0"/>
        <v>43792</v>
      </c>
      <c r="AL6" s="57">
        <f t="shared" si="0"/>
        <v>43793</v>
      </c>
      <c r="AM6" s="58">
        <f t="shared" si="0"/>
        <v>43794</v>
      </c>
      <c r="AN6" s="38">
        <f t="shared" si="0"/>
        <v>43795</v>
      </c>
      <c r="AO6" s="38">
        <f t="shared" si="0"/>
        <v>43796</v>
      </c>
      <c r="AP6" s="38">
        <f t="shared" si="0"/>
        <v>43797</v>
      </c>
      <c r="AQ6" s="38">
        <f t="shared" si="0"/>
        <v>43798</v>
      </c>
      <c r="AR6" s="38">
        <f t="shared" ref="AR6:BN6" si="4">AQ6+1</f>
        <v>43799</v>
      </c>
      <c r="AS6" s="59">
        <f t="shared" si="4"/>
        <v>43800</v>
      </c>
      <c r="AT6" s="60">
        <f t="shared" si="4"/>
        <v>43801</v>
      </c>
      <c r="AU6" s="38">
        <f t="shared" si="4"/>
        <v>43802</v>
      </c>
      <c r="AV6" s="38">
        <f t="shared" si="4"/>
        <v>43803</v>
      </c>
      <c r="AW6" s="38">
        <f t="shared" si="4"/>
        <v>43804</v>
      </c>
      <c r="AX6" s="38">
        <f t="shared" si="4"/>
        <v>43805</v>
      </c>
      <c r="AY6" s="38">
        <f t="shared" si="4"/>
        <v>43806</v>
      </c>
      <c r="AZ6" s="61">
        <f t="shared" si="4"/>
        <v>43807</v>
      </c>
      <c r="BA6" s="62">
        <f t="shared" si="4"/>
        <v>43808</v>
      </c>
      <c r="BB6" s="38">
        <f t="shared" si="4"/>
        <v>43809</v>
      </c>
      <c r="BC6" s="38">
        <f t="shared" si="4"/>
        <v>43810</v>
      </c>
      <c r="BD6" s="38">
        <f t="shared" si="4"/>
        <v>43811</v>
      </c>
      <c r="BE6" s="38">
        <f t="shared" si="4"/>
        <v>43812</v>
      </c>
      <c r="BF6" s="38">
        <f t="shared" si="4"/>
        <v>43813</v>
      </c>
      <c r="BG6" s="63">
        <f t="shared" si="4"/>
        <v>43814</v>
      </c>
      <c r="BH6" s="64">
        <f t="shared" si="4"/>
        <v>43815</v>
      </c>
      <c r="BI6" s="38">
        <f t="shared" si="4"/>
        <v>43816</v>
      </c>
      <c r="BJ6" s="38">
        <f t="shared" si="4"/>
        <v>43817</v>
      </c>
      <c r="BK6" s="38">
        <f t="shared" si="4"/>
        <v>43818</v>
      </c>
      <c r="BL6" s="38">
        <f t="shared" si="4"/>
        <v>43819</v>
      </c>
      <c r="BM6" s="38">
        <f t="shared" si="4"/>
        <v>43820</v>
      </c>
      <c r="BN6" s="65">
        <f t="shared" si="4"/>
        <v>43821</v>
      </c>
    </row>
    <row r="7" spans="1:150" s="34" customFormat="1" ht="30" customHeight="1" thickBot="1" x14ac:dyDescent="0.25">
      <c r="A7" s="27" t="s">
        <v>0</v>
      </c>
      <c r="B7" s="28" t="s">
        <v>1</v>
      </c>
      <c r="C7" s="29" t="s">
        <v>2</v>
      </c>
      <c r="D7" s="30" t="s">
        <v>8</v>
      </c>
      <c r="E7" s="31" t="s">
        <v>3</v>
      </c>
      <c r="F7" s="31" t="s">
        <v>4</v>
      </c>
      <c r="G7" s="29" t="s">
        <v>5</v>
      </c>
      <c r="H7" s="29" t="s">
        <v>6</v>
      </c>
      <c r="I7" s="70" t="s">
        <v>7</v>
      </c>
      <c r="J7" s="26"/>
      <c r="K7" s="48" t="str">
        <f t="shared" ref="K7:AP7" si="5">CHOOSE(WEEKDAY(K6,1),"S","M","T","W","T","F","S")</f>
        <v>M</v>
      </c>
      <c r="L7" s="32" t="str">
        <f t="shared" si="5"/>
        <v>T</v>
      </c>
      <c r="M7" s="32" t="str">
        <f t="shared" si="5"/>
        <v>W</v>
      </c>
      <c r="N7" s="32" t="str">
        <f t="shared" si="5"/>
        <v>T</v>
      </c>
      <c r="O7" s="32" t="str">
        <f t="shared" si="5"/>
        <v>F</v>
      </c>
      <c r="P7" s="32" t="str">
        <f t="shared" si="5"/>
        <v>S</v>
      </c>
      <c r="Q7" s="49" t="str">
        <f t="shared" si="5"/>
        <v>S</v>
      </c>
      <c r="R7" s="48" t="str">
        <f t="shared" si="5"/>
        <v>M</v>
      </c>
      <c r="S7" s="32" t="str">
        <f t="shared" si="5"/>
        <v>T</v>
      </c>
      <c r="T7" s="32" t="str">
        <f t="shared" si="5"/>
        <v>W</v>
      </c>
      <c r="U7" s="32" t="str">
        <f t="shared" ref="U7:W7" si="6">CHOOSE(WEEKDAY(U6,1),"S","M","T","W","T","F","S")</f>
        <v>T</v>
      </c>
      <c r="V7" s="32" t="str">
        <f t="shared" si="6"/>
        <v>F</v>
      </c>
      <c r="W7" s="32" t="str">
        <f t="shared" si="6"/>
        <v>S</v>
      </c>
      <c r="X7" s="49" t="str">
        <f t="shared" si="5"/>
        <v>S</v>
      </c>
      <c r="Y7" s="47" t="str">
        <f t="shared" si="5"/>
        <v>M</v>
      </c>
      <c r="Z7" s="32" t="str">
        <f t="shared" si="5"/>
        <v>T</v>
      </c>
      <c r="AA7" s="32" t="str">
        <f t="shared" si="5"/>
        <v>W</v>
      </c>
      <c r="AB7" s="32" t="str">
        <f t="shared" si="5"/>
        <v>T</v>
      </c>
      <c r="AC7" s="32" t="str">
        <f t="shared" si="5"/>
        <v>F</v>
      </c>
      <c r="AD7" s="32" t="str">
        <f t="shared" si="5"/>
        <v>S</v>
      </c>
      <c r="AE7" s="50" t="str">
        <f t="shared" si="5"/>
        <v>S</v>
      </c>
      <c r="AF7" s="48" t="str">
        <f t="shared" si="5"/>
        <v>M</v>
      </c>
      <c r="AG7" s="32" t="str">
        <f t="shared" si="5"/>
        <v>T</v>
      </c>
      <c r="AH7" s="32" t="str">
        <f t="shared" si="5"/>
        <v>W</v>
      </c>
      <c r="AI7" s="32" t="str">
        <f t="shared" si="5"/>
        <v>T</v>
      </c>
      <c r="AJ7" s="32" t="str">
        <f t="shared" si="5"/>
        <v>F</v>
      </c>
      <c r="AK7" s="32" t="str">
        <f t="shared" si="5"/>
        <v>S</v>
      </c>
      <c r="AL7" s="49" t="str">
        <f t="shared" si="5"/>
        <v>S</v>
      </c>
      <c r="AM7" s="48" t="str">
        <f t="shared" si="5"/>
        <v>M</v>
      </c>
      <c r="AN7" s="32" t="str">
        <f t="shared" si="5"/>
        <v>T</v>
      </c>
      <c r="AO7" s="32" t="str">
        <f t="shared" si="5"/>
        <v>W</v>
      </c>
      <c r="AP7" s="32" t="str">
        <f t="shared" si="5"/>
        <v>T</v>
      </c>
      <c r="AQ7" s="32" t="str">
        <f t="shared" ref="AQ7:BN7" si="7">CHOOSE(WEEKDAY(AQ6,1),"S","M","T","W","T","F","S")</f>
        <v>F</v>
      </c>
      <c r="AR7" s="32" t="str">
        <f t="shared" si="7"/>
        <v>S</v>
      </c>
      <c r="AS7" s="49" t="str">
        <f t="shared" si="7"/>
        <v>S</v>
      </c>
      <c r="AT7" s="48" t="str">
        <f t="shared" si="7"/>
        <v>M</v>
      </c>
      <c r="AU7" s="32" t="str">
        <f t="shared" si="7"/>
        <v>T</v>
      </c>
      <c r="AV7" s="32" t="str">
        <f t="shared" si="7"/>
        <v>W</v>
      </c>
      <c r="AW7" s="32" t="str">
        <f t="shared" si="7"/>
        <v>T</v>
      </c>
      <c r="AX7" s="32" t="str">
        <f t="shared" si="7"/>
        <v>F</v>
      </c>
      <c r="AY7" s="32" t="str">
        <f t="shared" si="7"/>
        <v>S</v>
      </c>
      <c r="AZ7" s="49" t="str">
        <f t="shared" si="7"/>
        <v>S</v>
      </c>
      <c r="BA7" s="48" t="str">
        <f t="shared" si="7"/>
        <v>M</v>
      </c>
      <c r="BB7" s="32" t="str">
        <f t="shared" si="7"/>
        <v>T</v>
      </c>
      <c r="BC7" s="32" t="str">
        <f t="shared" si="7"/>
        <v>W</v>
      </c>
      <c r="BD7" s="32" t="str">
        <f t="shared" si="7"/>
        <v>T</v>
      </c>
      <c r="BE7" s="32" t="str">
        <f t="shared" si="7"/>
        <v>F</v>
      </c>
      <c r="BF7" s="32" t="str">
        <f t="shared" si="7"/>
        <v>S</v>
      </c>
      <c r="BG7" s="49" t="str">
        <f t="shared" si="7"/>
        <v>S</v>
      </c>
      <c r="BH7" s="48" t="str">
        <f t="shared" si="7"/>
        <v>M</v>
      </c>
      <c r="BI7" s="32" t="str">
        <f t="shared" si="7"/>
        <v>T</v>
      </c>
      <c r="BJ7" s="32" t="str">
        <f t="shared" si="7"/>
        <v>W</v>
      </c>
      <c r="BK7" s="32" t="str">
        <f t="shared" si="7"/>
        <v>T</v>
      </c>
      <c r="BL7" s="32" t="str">
        <f t="shared" si="7"/>
        <v>F</v>
      </c>
      <c r="BM7" s="32" t="str">
        <f t="shared" si="7"/>
        <v>S</v>
      </c>
      <c r="BN7" s="49" t="str">
        <f t="shared" si="7"/>
        <v>S</v>
      </c>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row>
    <row r="8" spans="1:150" s="5" customFormat="1" ht="18" thickTop="1" x14ac:dyDescent="0.25">
      <c r="A8" s="78" t="str">
        <f>IF(ISERROR(VALUE(SUBSTITUTE(prevWBS,".",""))),"1",IF(ISERROR(FIND("`",SUBSTITUTE(prevWBS,".","`",1))),TEXT(VALUE(prevWBS)+1,"#"),TEXT(VALUE(LEFT(prevWBS,FIND("`",SUBSTITUTE(prevWBS,".","`",1))-1))+1,"#")))</f>
        <v>1</v>
      </c>
      <c r="B8" s="66" t="s">
        <v>24</v>
      </c>
      <c r="D8" s="6"/>
      <c r="E8" s="7"/>
      <c r="F8" s="7"/>
      <c r="G8" s="8"/>
      <c r="H8" s="9"/>
      <c r="I8" s="91"/>
      <c r="J8" s="81"/>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row>
    <row r="9" spans="1:150" s="12" customFormat="1" ht="24.6" customHeight="1" x14ac:dyDescent="0.25">
      <c r="A9" s="79" t="str">
        <f t="shared" ref="A9:A13"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5" t="s">
        <v>32</v>
      </c>
      <c r="C9" s="76" t="s">
        <v>13</v>
      </c>
      <c r="D9" s="77"/>
      <c r="E9" s="74">
        <v>43766</v>
      </c>
      <c r="F9" s="71">
        <f>IF(ISBLANK(E9)," - ",IF(G9=0,E9,E9+G9-1))</f>
        <v>43767</v>
      </c>
      <c r="G9" s="24">
        <v>2</v>
      </c>
      <c r="H9" s="25">
        <v>0.1</v>
      </c>
      <c r="I9" s="89">
        <f t="shared" ref="I9:I13" si="9">IF(OR(F9=0,E9=0),0,NETWORKDAYS(E9,F9))</f>
        <v>2</v>
      </c>
      <c r="J9" s="105"/>
      <c r="K9" s="14"/>
      <c r="L9" s="104"/>
      <c r="M9" s="14"/>
      <c r="N9" s="104"/>
      <c r="O9" s="14"/>
      <c r="P9" s="104"/>
      <c r="Q9" s="14"/>
      <c r="R9" s="104"/>
      <c r="S9" s="14"/>
      <c r="T9" s="104"/>
      <c r="U9" s="14"/>
      <c r="V9" s="104"/>
      <c r="W9" s="14"/>
      <c r="X9" s="104"/>
      <c r="Y9" s="14"/>
      <c r="Z9" s="104"/>
      <c r="AA9" s="14"/>
      <c r="AB9" s="104"/>
      <c r="AC9" s="14"/>
      <c r="AD9" s="104"/>
      <c r="AE9" s="14"/>
      <c r="AF9" s="104"/>
      <c r="AG9" s="14"/>
      <c r="AH9" s="104"/>
      <c r="AI9" s="14"/>
      <c r="AJ9" s="104"/>
      <c r="AK9" s="14"/>
      <c r="AL9" s="104"/>
      <c r="AM9" s="14"/>
      <c r="AN9" s="104"/>
      <c r="AO9" s="14"/>
      <c r="AP9" s="104"/>
      <c r="AQ9" s="14"/>
      <c r="AR9" s="104"/>
      <c r="AS9" s="14"/>
      <c r="AT9" s="104"/>
      <c r="AU9" s="14"/>
      <c r="AV9" s="104"/>
      <c r="AW9" s="14"/>
      <c r="AX9" s="104"/>
      <c r="AY9" s="14"/>
      <c r="AZ9" s="104"/>
      <c r="BA9" s="14"/>
      <c r="BB9" s="104"/>
      <c r="BC9" s="14"/>
      <c r="BD9" s="104"/>
      <c r="BE9" s="14"/>
      <c r="BF9" s="104"/>
      <c r="BG9" s="14"/>
      <c r="BH9" s="104"/>
      <c r="BI9" s="14"/>
      <c r="BJ9" s="104"/>
      <c r="BK9" s="14"/>
      <c r="BL9" s="104"/>
      <c r="BM9" s="14"/>
      <c r="BN9" s="104"/>
    </row>
    <row r="10" spans="1:150" s="12" customFormat="1" ht="27" customHeight="1" x14ac:dyDescent="0.25">
      <c r="A10" s="79" t="str">
        <f t="shared" si="8"/>
        <v>1.2</v>
      </c>
      <c r="B10" s="75" t="s">
        <v>33</v>
      </c>
      <c r="C10" s="76" t="s">
        <v>13</v>
      </c>
      <c r="D10" s="77"/>
      <c r="E10" s="74">
        <v>43768</v>
      </c>
      <c r="F10" s="71">
        <f t="shared" ref="F10:F13" si="10">IF(ISBLANK(E10)," - ",IF(G10=0,E10,E10+G10-1))</f>
        <v>43769</v>
      </c>
      <c r="G10" s="24">
        <v>2</v>
      </c>
      <c r="H10" s="25">
        <v>0.1</v>
      </c>
      <c r="I10" s="89">
        <f t="shared" si="9"/>
        <v>2</v>
      </c>
      <c r="J10" s="105"/>
      <c r="K10" s="14"/>
      <c r="L10" s="104"/>
      <c r="M10" s="14"/>
      <c r="N10" s="104"/>
      <c r="O10" s="14"/>
      <c r="P10" s="104"/>
      <c r="Q10" s="14"/>
      <c r="R10" s="104"/>
      <c r="S10" s="14"/>
      <c r="T10" s="104"/>
      <c r="U10" s="14"/>
      <c r="V10" s="104"/>
      <c r="W10" s="14"/>
      <c r="X10" s="104"/>
      <c r="Y10" s="14"/>
      <c r="Z10" s="104"/>
      <c r="AA10" s="14"/>
      <c r="AB10" s="104"/>
      <c r="AC10" s="14"/>
      <c r="AD10" s="104"/>
      <c r="AE10" s="14"/>
      <c r="AF10" s="104"/>
      <c r="AG10" s="14"/>
      <c r="AH10" s="104"/>
      <c r="AI10" s="14"/>
      <c r="AJ10" s="104"/>
      <c r="AK10" s="14"/>
      <c r="AL10" s="104"/>
      <c r="AM10" s="14"/>
      <c r="AN10" s="104"/>
      <c r="AO10" s="14"/>
      <c r="AP10" s="104"/>
      <c r="AQ10" s="14"/>
      <c r="AR10" s="104"/>
      <c r="AS10" s="14"/>
      <c r="AT10" s="104"/>
      <c r="AU10" s="14"/>
      <c r="AV10" s="104"/>
      <c r="AW10" s="14"/>
      <c r="AX10" s="104"/>
      <c r="AY10" s="14"/>
      <c r="AZ10" s="104"/>
      <c r="BA10" s="14"/>
      <c r="BB10" s="104"/>
      <c r="BC10" s="14"/>
      <c r="BD10" s="104"/>
      <c r="BE10" s="14"/>
      <c r="BF10" s="104"/>
      <c r="BG10" s="14"/>
      <c r="BH10" s="104"/>
      <c r="BI10" s="14"/>
      <c r="BJ10" s="104"/>
      <c r="BK10" s="14"/>
      <c r="BL10" s="104"/>
      <c r="BM10" s="14"/>
      <c r="BN10" s="104"/>
    </row>
    <row r="11" spans="1:150" s="12" customFormat="1" ht="39" customHeight="1" x14ac:dyDescent="0.25">
      <c r="A11" s="79" t="str">
        <f t="shared" si="8"/>
        <v>1.3</v>
      </c>
      <c r="B11" s="75" t="s">
        <v>34</v>
      </c>
      <c r="C11" s="76" t="s">
        <v>14</v>
      </c>
      <c r="D11" s="77"/>
      <c r="E11" s="74">
        <v>43770</v>
      </c>
      <c r="F11" s="71">
        <f t="shared" si="10"/>
        <v>43770</v>
      </c>
      <c r="G11" s="24">
        <v>1</v>
      </c>
      <c r="H11" s="25">
        <v>0</v>
      </c>
      <c r="I11" s="89">
        <f t="shared" si="9"/>
        <v>1</v>
      </c>
      <c r="J11" s="105"/>
      <c r="K11" s="14"/>
      <c r="L11" s="104"/>
      <c r="M11" s="14"/>
      <c r="N11" s="104"/>
      <c r="O11" s="14"/>
      <c r="P11" s="104"/>
      <c r="Q11" s="14"/>
      <c r="R11" s="104"/>
      <c r="S11" s="14"/>
      <c r="T11" s="104"/>
      <c r="U11" s="14"/>
      <c r="V11" s="104"/>
      <c r="W11" s="14"/>
      <c r="X11" s="104"/>
      <c r="Y11" s="14"/>
      <c r="Z11" s="104"/>
      <c r="AA11" s="14"/>
      <c r="AB11" s="104"/>
      <c r="AC11" s="14"/>
      <c r="AD11" s="104"/>
      <c r="AE11" s="14"/>
      <c r="AF11" s="104"/>
      <c r="AG11" s="14"/>
      <c r="AH11" s="104"/>
      <c r="AI11" s="14"/>
      <c r="AJ11" s="104"/>
      <c r="AK11" s="14"/>
      <c r="AL11" s="104"/>
      <c r="AM11" s="14"/>
      <c r="AN11" s="104"/>
      <c r="AO11" s="14"/>
      <c r="AP11" s="104"/>
      <c r="AQ11" s="14"/>
      <c r="AR11" s="104"/>
      <c r="AS11" s="14"/>
      <c r="AT11" s="104"/>
      <c r="AU11" s="14"/>
      <c r="AV11" s="104"/>
      <c r="AW11" s="14"/>
      <c r="AX11" s="104"/>
      <c r="AY11" s="14"/>
      <c r="AZ11" s="104"/>
      <c r="BA11" s="14"/>
      <c r="BB11" s="104"/>
      <c r="BC11" s="14"/>
      <c r="BD11" s="104"/>
      <c r="BE11" s="14"/>
      <c r="BF11" s="104"/>
      <c r="BG11" s="14"/>
      <c r="BH11" s="104"/>
      <c r="BI11" s="14"/>
      <c r="BJ11" s="104"/>
      <c r="BK11" s="14"/>
      <c r="BL11" s="104"/>
      <c r="BM11" s="14"/>
      <c r="BN11" s="104"/>
    </row>
    <row r="12" spans="1:150" s="12" customFormat="1" ht="34.799999999999997" customHeight="1" x14ac:dyDescent="0.25">
      <c r="A12" s="79" t="str">
        <f t="shared" si="8"/>
        <v>1.4</v>
      </c>
      <c r="B12" s="75" t="s">
        <v>35</v>
      </c>
      <c r="C12" s="76" t="s">
        <v>16</v>
      </c>
      <c r="D12" s="77"/>
      <c r="E12" s="74">
        <v>43770</v>
      </c>
      <c r="F12" s="71">
        <f t="shared" si="10"/>
        <v>43772</v>
      </c>
      <c r="G12" s="24">
        <v>3</v>
      </c>
      <c r="H12" s="25">
        <v>0</v>
      </c>
      <c r="I12" s="89">
        <f t="shared" si="9"/>
        <v>1</v>
      </c>
      <c r="J12" s="105"/>
      <c r="K12" s="14"/>
      <c r="L12" s="104"/>
      <c r="M12" s="14"/>
      <c r="N12" s="104"/>
      <c r="O12" s="14"/>
      <c r="P12" s="104"/>
      <c r="Q12" s="14"/>
      <c r="R12" s="104"/>
      <c r="S12" s="14"/>
      <c r="T12" s="104"/>
      <c r="U12" s="14"/>
      <c r="V12" s="104"/>
      <c r="W12" s="14"/>
      <c r="X12" s="104"/>
      <c r="Y12" s="14"/>
      <c r="Z12" s="104"/>
      <c r="AA12" s="14"/>
      <c r="AB12" s="104"/>
      <c r="AC12" s="14"/>
      <c r="AD12" s="104"/>
      <c r="AE12" s="14"/>
      <c r="AF12" s="104"/>
      <c r="AG12" s="14"/>
      <c r="AH12" s="104"/>
      <c r="AI12" s="14"/>
      <c r="AJ12" s="104"/>
      <c r="AK12" s="14"/>
      <c r="AL12" s="104"/>
      <c r="AM12" s="14"/>
      <c r="AN12" s="104"/>
      <c r="AO12" s="14"/>
      <c r="AP12" s="104"/>
      <c r="AQ12" s="14"/>
      <c r="AR12" s="104"/>
      <c r="AS12" s="14"/>
      <c r="AT12" s="104"/>
      <c r="AU12" s="14"/>
      <c r="AV12" s="104"/>
      <c r="AW12" s="14"/>
      <c r="AX12" s="104"/>
      <c r="AY12" s="14"/>
      <c r="AZ12" s="104"/>
      <c r="BA12" s="14"/>
      <c r="BB12" s="104"/>
      <c r="BC12" s="14"/>
      <c r="BD12" s="104"/>
      <c r="BE12" s="14"/>
      <c r="BF12" s="104"/>
      <c r="BG12" s="14"/>
      <c r="BH12" s="104"/>
      <c r="BI12" s="14"/>
      <c r="BJ12" s="104"/>
      <c r="BK12" s="14"/>
      <c r="BL12" s="104"/>
      <c r="BM12" s="14"/>
      <c r="BN12" s="104"/>
    </row>
    <row r="13" spans="1:150" s="12" customFormat="1" ht="36" customHeight="1" x14ac:dyDescent="0.25">
      <c r="A13" s="79" t="str">
        <f t="shared" si="8"/>
        <v>1.5</v>
      </c>
      <c r="B13" s="75" t="s">
        <v>36</v>
      </c>
      <c r="C13" s="76" t="s">
        <v>16</v>
      </c>
      <c r="D13" s="77"/>
      <c r="E13" s="74">
        <v>43773</v>
      </c>
      <c r="F13" s="71">
        <f t="shared" si="10"/>
        <v>43775</v>
      </c>
      <c r="G13" s="24">
        <v>3</v>
      </c>
      <c r="H13" s="25">
        <v>0</v>
      </c>
      <c r="I13" s="89">
        <f t="shared" si="9"/>
        <v>3</v>
      </c>
      <c r="J13" s="105"/>
      <c r="K13" s="14"/>
      <c r="L13" s="104"/>
      <c r="M13" s="14"/>
      <c r="N13" s="104"/>
      <c r="O13" s="14"/>
      <c r="P13" s="104"/>
      <c r="Q13" s="14"/>
      <c r="R13" s="104"/>
      <c r="S13" s="14"/>
      <c r="T13" s="104"/>
      <c r="U13" s="14"/>
      <c r="V13" s="104"/>
      <c r="W13" s="14"/>
      <c r="X13" s="104"/>
      <c r="Y13" s="14"/>
      <c r="Z13" s="104"/>
      <c r="AA13" s="14"/>
      <c r="AB13" s="104"/>
      <c r="AC13" s="14"/>
      <c r="AD13" s="104"/>
      <c r="AE13" s="14"/>
      <c r="AF13" s="104"/>
      <c r="AG13" s="14"/>
      <c r="AH13" s="104"/>
      <c r="AI13" s="14"/>
      <c r="AJ13" s="104"/>
      <c r="AK13" s="14"/>
      <c r="AL13" s="104"/>
      <c r="AM13" s="14"/>
      <c r="AN13" s="104"/>
      <c r="AO13" s="14"/>
      <c r="AP13" s="104"/>
      <c r="AQ13" s="14"/>
      <c r="AR13" s="104"/>
      <c r="AS13" s="14"/>
      <c r="AT13" s="104"/>
      <c r="AU13" s="14"/>
      <c r="AV13" s="104"/>
      <c r="AW13" s="14"/>
      <c r="AX13" s="104"/>
      <c r="AY13" s="14"/>
      <c r="AZ13" s="104"/>
      <c r="BA13" s="14"/>
      <c r="BB13" s="104"/>
      <c r="BC13" s="14"/>
      <c r="BD13" s="104"/>
      <c r="BE13" s="14"/>
      <c r="BF13" s="104"/>
      <c r="BG13" s="14"/>
      <c r="BH13" s="104"/>
      <c r="BI13" s="14"/>
      <c r="BJ13" s="104"/>
      <c r="BK13" s="14"/>
      <c r="BL13" s="104"/>
      <c r="BM13" s="14"/>
      <c r="BN13" s="104"/>
    </row>
    <row r="14" spans="1:150" s="11" customFormat="1" ht="17.399999999999999" x14ac:dyDescent="0.25">
      <c r="A14" s="80" t="str">
        <f>IF(ISERROR(VALUE(SUBSTITUTE(prevWBS,".",""))),"1",IF(ISERROR(FIND("`",SUBSTITUTE(prevWBS,".","`",1))),TEXT(VALUE(prevWBS)+1,"#"),TEXT(VALUE(LEFT(prevWBS,FIND("`",SUBSTITUTE(prevWBS,".","`",1))-1))+1,"#")))</f>
        <v>2</v>
      </c>
      <c r="B14" s="67" t="s">
        <v>25</v>
      </c>
      <c r="D14" s="16"/>
      <c r="E14" s="68"/>
      <c r="F14" s="69"/>
      <c r="G14" s="17"/>
      <c r="H14" s="18"/>
      <c r="I14" s="90"/>
      <c r="J14" s="82"/>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row>
    <row r="15" spans="1:150" s="12" customFormat="1" ht="26.4" customHeight="1" x14ac:dyDescent="0.25">
      <c r="A15"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5" s="15" t="s">
        <v>31</v>
      </c>
      <c r="C15" s="12" t="s">
        <v>13</v>
      </c>
      <c r="D15" s="13"/>
      <c r="E15" s="74">
        <v>43139</v>
      </c>
      <c r="F15" s="71">
        <f t="shared" ref="F15:F19" si="11">IF(ISBLANK(E15)," - ",IF(G15=0,E15,E15+G15-1))</f>
        <v>43141</v>
      </c>
      <c r="G15" s="24">
        <v>3</v>
      </c>
      <c r="H15" s="25">
        <v>0</v>
      </c>
      <c r="I15" s="89">
        <f>IF(OR(F15=0,E15=0),0,NETWORKDAYS(E15,F15))</f>
        <v>2</v>
      </c>
      <c r="J15" s="105"/>
      <c r="K15" s="14"/>
      <c r="L15" s="104"/>
      <c r="M15" s="14"/>
      <c r="N15" s="104"/>
      <c r="O15" s="14"/>
      <c r="P15" s="104"/>
      <c r="Q15" s="14"/>
      <c r="R15" s="104"/>
      <c r="S15" s="14"/>
      <c r="T15" s="104"/>
      <c r="U15" s="108"/>
      <c r="V15" s="106"/>
      <c r="W15" s="107"/>
      <c r="X15" s="104"/>
      <c r="Y15" s="14"/>
      <c r="Z15" s="104"/>
      <c r="AA15" s="14"/>
      <c r="AB15" s="104"/>
      <c r="AC15" s="14"/>
      <c r="AD15" s="104"/>
      <c r="AE15" s="14"/>
      <c r="AF15" s="104"/>
      <c r="AG15" s="14"/>
      <c r="AH15" s="104"/>
      <c r="AI15" s="14"/>
      <c r="AJ15" s="104"/>
      <c r="AK15" s="14"/>
      <c r="AL15" s="104"/>
      <c r="AM15" s="14"/>
      <c r="AN15" s="104"/>
      <c r="AO15" s="14"/>
      <c r="AP15" s="104"/>
      <c r="AQ15" s="14"/>
      <c r="AR15" s="104"/>
      <c r="AS15" s="14"/>
      <c r="AT15" s="104"/>
      <c r="AU15" s="14"/>
      <c r="AV15" s="104"/>
      <c r="AW15" s="14"/>
      <c r="AX15" s="104"/>
      <c r="AY15" s="14"/>
      <c r="AZ15" s="104"/>
      <c r="BA15" s="14"/>
      <c r="BB15" s="104"/>
      <c r="BC15" s="14"/>
      <c r="BD15" s="104"/>
      <c r="BE15" s="14"/>
      <c r="BF15" s="104"/>
      <c r="BG15" s="14"/>
      <c r="BH15" s="104"/>
      <c r="BI15" s="14"/>
      <c r="BJ15" s="104"/>
      <c r="BK15" s="14"/>
      <c r="BL15" s="104"/>
      <c r="BM15" s="14"/>
      <c r="BN15" s="104"/>
    </row>
    <row r="16" spans="1:150" s="12" customFormat="1" ht="17.399999999999999" customHeight="1" x14ac:dyDescent="0.25">
      <c r="A16"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6" s="15" t="s">
        <v>19</v>
      </c>
      <c r="C16" s="12" t="s">
        <v>16</v>
      </c>
      <c r="D16" s="13"/>
      <c r="E16" s="74">
        <v>43145</v>
      </c>
      <c r="F16" s="71">
        <f t="shared" si="11"/>
        <v>43147</v>
      </c>
      <c r="G16" s="24">
        <v>3</v>
      </c>
      <c r="H16" s="25">
        <v>0</v>
      </c>
      <c r="I16" s="89">
        <f>IF(OR(F16=0,E16=0),0,NETWORKDAYS(E16,F16))</f>
        <v>3</v>
      </c>
      <c r="J16" s="105"/>
      <c r="K16" s="14"/>
      <c r="L16" s="104"/>
      <c r="M16" s="14"/>
      <c r="N16" s="104"/>
      <c r="O16" s="14"/>
      <c r="P16" s="104"/>
      <c r="Q16" s="14"/>
      <c r="R16" s="104"/>
      <c r="S16" s="14"/>
      <c r="T16" s="104"/>
      <c r="U16" s="106"/>
      <c r="V16" s="106"/>
      <c r="W16" s="107"/>
      <c r="X16" s="104"/>
      <c r="Y16" s="14"/>
      <c r="Z16" s="104"/>
      <c r="AA16" s="14"/>
      <c r="AB16" s="104"/>
      <c r="AC16" s="14"/>
      <c r="AD16" s="104"/>
      <c r="AE16" s="14"/>
      <c r="AF16" s="104"/>
      <c r="AG16" s="14"/>
      <c r="AH16" s="104"/>
      <c r="AI16" s="14"/>
      <c r="AJ16" s="104"/>
      <c r="AK16" s="14"/>
      <c r="AL16" s="104"/>
      <c r="AM16" s="14"/>
      <c r="AN16" s="104"/>
      <c r="AO16" s="14"/>
      <c r="AP16" s="104"/>
      <c r="AQ16" s="14"/>
      <c r="AR16" s="104"/>
      <c r="AS16" s="14"/>
      <c r="AT16" s="104"/>
      <c r="AU16" s="14"/>
      <c r="AV16" s="104"/>
      <c r="AW16" s="14"/>
      <c r="AX16" s="104"/>
      <c r="AY16" s="14"/>
      <c r="AZ16" s="104"/>
      <c r="BA16" s="14"/>
      <c r="BB16" s="104"/>
      <c r="BC16" s="14"/>
      <c r="BD16" s="104"/>
      <c r="BE16" s="14"/>
      <c r="BF16" s="104"/>
      <c r="BG16" s="14"/>
      <c r="BH16" s="104"/>
      <c r="BI16" s="14"/>
      <c r="BJ16" s="104"/>
      <c r="BK16" s="14"/>
      <c r="BL16" s="104"/>
      <c r="BM16" s="14"/>
      <c r="BN16" s="104"/>
    </row>
    <row r="17" spans="1:66" s="12" customFormat="1" ht="25.2" customHeight="1" x14ac:dyDescent="0.25">
      <c r="A17"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7" s="15" t="s">
        <v>17</v>
      </c>
      <c r="C17" s="12" t="s">
        <v>14</v>
      </c>
      <c r="D17" s="13"/>
      <c r="E17" s="74">
        <v>43145</v>
      </c>
      <c r="F17" s="71">
        <f t="shared" si="11"/>
        <v>43147</v>
      </c>
      <c r="G17" s="24">
        <v>3</v>
      </c>
      <c r="H17" s="25">
        <v>0</v>
      </c>
      <c r="I17" s="89">
        <f>IF(OR(F17=0,E17=0),0,NETWORKDAYS(E17,F17))</f>
        <v>3</v>
      </c>
      <c r="J17" s="105"/>
      <c r="K17" s="14"/>
      <c r="L17" s="104"/>
      <c r="M17" s="14"/>
      <c r="N17" s="104"/>
      <c r="O17" s="14"/>
      <c r="P17" s="104"/>
      <c r="Q17" s="14"/>
      <c r="R17" s="104"/>
      <c r="S17" s="14"/>
      <c r="T17" s="104"/>
      <c r="U17" s="106"/>
      <c r="V17" s="106"/>
      <c r="W17" s="106"/>
      <c r="X17" s="104"/>
      <c r="Y17" s="107"/>
      <c r="Z17" s="104"/>
      <c r="AA17" s="14"/>
      <c r="AB17" s="104"/>
      <c r="AC17" s="14"/>
      <c r="AD17" s="104"/>
      <c r="AE17" s="14"/>
      <c r="AF17" s="104"/>
      <c r="AG17" s="14"/>
      <c r="AH17" s="104"/>
      <c r="AI17" s="14"/>
      <c r="AJ17" s="104"/>
      <c r="AK17" s="14"/>
      <c r="AL17" s="104"/>
      <c r="AM17" s="14"/>
      <c r="AN17" s="104"/>
      <c r="AO17" s="14"/>
      <c r="AP17" s="104"/>
      <c r="AQ17" s="14"/>
      <c r="AR17" s="104"/>
      <c r="AS17" s="14"/>
      <c r="AT17" s="104"/>
      <c r="AU17" s="14"/>
      <c r="AV17" s="104"/>
      <c r="AW17" s="14"/>
      <c r="AX17" s="104"/>
      <c r="AY17" s="14"/>
      <c r="AZ17" s="104"/>
      <c r="BA17" s="14"/>
      <c r="BB17" s="104"/>
      <c r="BC17" s="14"/>
      <c r="BD17" s="104"/>
      <c r="BE17" s="14"/>
      <c r="BF17" s="104"/>
      <c r="BG17" s="14"/>
      <c r="BH17" s="104"/>
      <c r="BI17" s="14"/>
      <c r="BJ17" s="104"/>
      <c r="BK17" s="14"/>
      <c r="BL17" s="104"/>
      <c r="BM17" s="14"/>
      <c r="BN17" s="104"/>
    </row>
    <row r="18" spans="1:66" s="12" customFormat="1" ht="24.6" customHeight="1" x14ac:dyDescent="0.25">
      <c r="A18"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8" s="15" t="s">
        <v>18</v>
      </c>
      <c r="C18" s="12" t="s">
        <v>16</v>
      </c>
      <c r="D18" s="13"/>
      <c r="E18" s="74">
        <v>43148</v>
      </c>
      <c r="F18" s="71">
        <f t="shared" si="11"/>
        <v>43153</v>
      </c>
      <c r="G18" s="24">
        <v>6</v>
      </c>
      <c r="H18" s="25">
        <v>0</v>
      </c>
      <c r="I18" s="89">
        <f>IF(OR(F18=0,E18=0),0,NETWORKDAYS(E18,F18))</f>
        <v>4</v>
      </c>
      <c r="J18" s="105"/>
      <c r="K18" s="14"/>
      <c r="L18" s="104"/>
      <c r="M18" s="14"/>
      <c r="N18" s="104"/>
      <c r="O18" s="14"/>
      <c r="P18" s="104"/>
      <c r="Q18" s="14"/>
      <c r="R18" s="104"/>
      <c r="S18" s="14"/>
      <c r="T18" s="104"/>
      <c r="U18" s="14"/>
      <c r="V18" s="104"/>
      <c r="W18" s="106"/>
      <c r="X18" s="106"/>
      <c r="Y18" s="107"/>
      <c r="Z18" s="104"/>
      <c r="AA18" s="107"/>
      <c r="AB18" s="104"/>
      <c r="AC18" s="14"/>
      <c r="AD18" s="104"/>
      <c r="AE18" s="14"/>
      <c r="AF18" s="104"/>
      <c r="AG18" s="14"/>
      <c r="AH18" s="104"/>
      <c r="AI18" s="14"/>
      <c r="AJ18" s="104"/>
      <c r="AK18" s="14"/>
      <c r="AL18" s="104"/>
      <c r="AM18" s="14"/>
      <c r="AN18" s="104"/>
      <c r="AO18" s="14"/>
      <c r="AP18" s="104"/>
      <c r="AQ18" s="14"/>
      <c r="AR18" s="104"/>
      <c r="AS18" s="14"/>
      <c r="AT18" s="104"/>
      <c r="AU18" s="14"/>
      <c r="AV18" s="104"/>
      <c r="AW18" s="14"/>
      <c r="AX18" s="104"/>
      <c r="AY18" s="14"/>
      <c r="AZ18" s="104"/>
      <c r="BA18" s="14"/>
      <c r="BB18" s="104"/>
      <c r="BC18" s="14"/>
      <c r="BD18" s="104"/>
      <c r="BE18" s="14"/>
      <c r="BF18" s="104"/>
      <c r="BG18" s="14"/>
      <c r="BH18" s="104"/>
      <c r="BI18" s="14"/>
      <c r="BJ18" s="104"/>
      <c r="BK18" s="14"/>
      <c r="BL18" s="104"/>
      <c r="BM18" s="14"/>
      <c r="BN18" s="104"/>
    </row>
    <row r="19" spans="1:66" s="12" customFormat="1" ht="27.6" customHeight="1" x14ac:dyDescent="0.25">
      <c r="A19"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19" s="15" t="s">
        <v>20</v>
      </c>
      <c r="C19" s="12" t="s">
        <v>13</v>
      </c>
      <c r="D19" s="13"/>
      <c r="E19" s="74">
        <v>43154</v>
      </c>
      <c r="F19" s="71">
        <f t="shared" si="11"/>
        <v>43156</v>
      </c>
      <c r="G19" s="24">
        <v>3</v>
      </c>
      <c r="H19" s="25">
        <v>0</v>
      </c>
      <c r="I19" s="89">
        <f>IF(OR(F19=0,E19=0),0,NETWORKDAYS(E19,F19))</f>
        <v>1</v>
      </c>
      <c r="J19" s="105"/>
      <c r="K19" s="14"/>
      <c r="L19" s="104"/>
      <c r="M19" s="14"/>
      <c r="N19" s="104"/>
      <c r="O19" s="14"/>
      <c r="P19" s="104"/>
      <c r="Q19" s="14"/>
      <c r="R19" s="104"/>
      <c r="S19" s="14"/>
      <c r="T19" s="104"/>
      <c r="U19" s="14"/>
      <c r="V19" s="104"/>
      <c r="W19" s="14"/>
      <c r="X19" s="106"/>
      <c r="Y19" s="106"/>
      <c r="Z19" s="104"/>
      <c r="AA19" s="107"/>
      <c r="AB19" s="104"/>
      <c r="AC19" s="107"/>
      <c r="AD19" s="104"/>
      <c r="AE19" s="14"/>
      <c r="AF19" s="104"/>
      <c r="AG19" s="14"/>
      <c r="AH19" s="104"/>
      <c r="AI19" s="14"/>
      <c r="AJ19" s="104"/>
      <c r="AK19" s="14"/>
      <c r="AL19" s="104"/>
      <c r="AM19" s="14"/>
      <c r="AN19" s="104"/>
      <c r="AO19" s="14"/>
      <c r="AP19" s="104"/>
      <c r="AQ19" s="14"/>
      <c r="AR19" s="104"/>
      <c r="AS19" s="14"/>
      <c r="AT19" s="104"/>
      <c r="AU19" s="14"/>
      <c r="AV19" s="104"/>
      <c r="AW19" s="14"/>
      <c r="AX19" s="104"/>
      <c r="AY19" s="14"/>
      <c r="AZ19" s="104"/>
      <c r="BA19" s="14"/>
      <c r="BB19" s="104"/>
      <c r="BC19" s="14"/>
      <c r="BD19" s="104"/>
      <c r="BE19" s="14"/>
      <c r="BF19" s="104"/>
      <c r="BG19" s="14"/>
      <c r="BH19" s="104"/>
      <c r="BI19" s="14"/>
      <c r="BJ19" s="104"/>
      <c r="BK19" s="14"/>
      <c r="BL19" s="104"/>
      <c r="BM19" s="14"/>
      <c r="BN19" s="104"/>
    </row>
    <row r="20" spans="1:66" s="11" customFormat="1" ht="17.399999999999999" x14ac:dyDescent="0.25">
      <c r="A20" s="80" t="str">
        <f>IF(ISERROR(VALUE(SUBSTITUTE(prevWBS,".",""))),"1",IF(ISERROR(FIND("`",SUBSTITUTE(prevWBS,".","`",1))),TEXT(VALUE(prevWBS)+1,"#"),TEXT(VALUE(LEFT(prevWBS,FIND("`",SUBSTITUTE(prevWBS,".","`",1))-1))+1,"#")))</f>
        <v>3</v>
      </c>
      <c r="B20" s="67" t="s">
        <v>26</v>
      </c>
      <c r="D20" s="16"/>
      <c r="E20" s="72"/>
      <c r="F20" s="73"/>
      <c r="G20" s="17"/>
      <c r="H20" s="18"/>
      <c r="I20" s="90"/>
      <c r="J20" s="82"/>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row>
    <row r="21" spans="1:66" s="12" customFormat="1" ht="28.2" customHeight="1" x14ac:dyDescent="0.25">
      <c r="A21"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1" s="15" t="s">
        <v>21</v>
      </c>
      <c r="C21" s="12" t="s">
        <v>14</v>
      </c>
      <c r="D21" s="13"/>
      <c r="E21" s="74">
        <v>43141</v>
      </c>
      <c r="F21" s="71">
        <f t="shared" ref="F21:F25" si="12">IF(ISBLANK(E21)," - ",IF(G21=0,E21,E21+G21-1))</f>
        <v>43144</v>
      </c>
      <c r="G21" s="24">
        <v>4</v>
      </c>
      <c r="H21" s="25">
        <v>0</v>
      </c>
      <c r="I21" s="89">
        <f>IF(OR(F21=0,E21=0),0,NETWORKDAYS(E21,F21))</f>
        <v>2</v>
      </c>
      <c r="J21" s="105"/>
      <c r="K21" s="14"/>
      <c r="L21" s="104"/>
      <c r="M21" s="14"/>
      <c r="N21" s="104"/>
      <c r="O21" s="14"/>
      <c r="P21" s="104"/>
      <c r="Q21" s="14"/>
      <c r="R21" s="104"/>
      <c r="S21" s="14"/>
      <c r="T21" s="104"/>
      <c r="U21" s="14"/>
      <c r="V21" s="104"/>
      <c r="W21" s="14"/>
      <c r="X21" s="104"/>
      <c r="Y21" s="14"/>
      <c r="Z21" s="106"/>
      <c r="AA21" s="106"/>
      <c r="AB21" s="106"/>
      <c r="AC21" s="14"/>
      <c r="AD21" s="104"/>
      <c r="AE21" s="107"/>
      <c r="AF21" s="104"/>
      <c r="AG21" s="107"/>
      <c r="AH21" s="104"/>
      <c r="AI21" s="14"/>
      <c r="AJ21" s="104"/>
      <c r="AK21" s="14"/>
      <c r="AL21" s="104"/>
      <c r="AM21" s="14"/>
      <c r="AN21" s="104"/>
      <c r="AO21" s="14"/>
      <c r="AP21" s="104"/>
      <c r="AQ21" s="14"/>
      <c r="AR21" s="104"/>
      <c r="AS21" s="14"/>
      <c r="AT21" s="104"/>
      <c r="AU21" s="14"/>
      <c r="AV21" s="104"/>
      <c r="AW21" s="14"/>
      <c r="AX21" s="104"/>
      <c r="AY21" s="14"/>
      <c r="AZ21" s="104"/>
      <c r="BA21" s="14"/>
      <c r="BB21" s="104"/>
      <c r="BC21" s="14"/>
      <c r="BD21" s="104"/>
      <c r="BE21" s="14"/>
      <c r="BF21" s="104"/>
      <c r="BG21" s="14"/>
      <c r="BH21" s="104"/>
      <c r="BI21" s="14"/>
      <c r="BJ21" s="104"/>
      <c r="BK21" s="14"/>
      <c r="BL21" s="104"/>
      <c r="BM21" s="14"/>
      <c r="BN21" s="104"/>
    </row>
    <row r="22" spans="1:66" s="12" customFormat="1" ht="25.2" customHeight="1" x14ac:dyDescent="0.25">
      <c r="A22"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2" s="15" t="s">
        <v>22</v>
      </c>
      <c r="C22" s="12" t="s">
        <v>13</v>
      </c>
      <c r="D22" s="13"/>
      <c r="E22" s="74">
        <v>43145</v>
      </c>
      <c r="F22" s="71">
        <f t="shared" si="12"/>
        <v>43147</v>
      </c>
      <c r="G22" s="24">
        <v>3</v>
      </c>
      <c r="H22" s="25">
        <v>0</v>
      </c>
      <c r="I22" s="89">
        <f>IF(OR(F22=0,E22=0),0,NETWORKDAYS(E22,F22))</f>
        <v>3</v>
      </c>
      <c r="J22" s="105"/>
      <c r="K22" s="14"/>
      <c r="L22" s="104"/>
      <c r="M22" s="14"/>
      <c r="N22" s="104"/>
      <c r="O22" s="14"/>
      <c r="P22" s="104"/>
      <c r="Q22" s="14"/>
      <c r="R22" s="104"/>
      <c r="S22" s="14"/>
      <c r="T22" s="104"/>
      <c r="U22" s="14"/>
      <c r="V22" s="104"/>
      <c r="W22" s="14"/>
      <c r="X22" s="104"/>
      <c r="Y22" s="14"/>
      <c r="Z22" s="106"/>
      <c r="AA22" s="106"/>
      <c r="AB22" s="106"/>
      <c r="AC22" s="14"/>
      <c r="AD22" s="104"/>
      <c r="AE22" s="14"/>
      <c r="AF22" s="104"/>
      <c r="AG22" s="14"/>
      <c r="AH22" s="104"/>
      <c r="AI22" s="14"/>
      <c r="AJ22" s="104"/>
      <c r="AK22" s="14"/>
      <c r="AL22" s="104"/>
      <c r="AM22" s="14"/>
      <c r="AN22" s="104"/>
      <c r="AO22" s="14"/>
      <c r="AP22" s="104"/>
      <c r="AQ22" s="14"/>
      <c r="AR22" s="104"/>
      <c r="AS22" s="14"/>
      <c r="AT22" s="104"/>
      <c r="AU22" s="14"/>
      <c r="AV22" s="104"/>
      <c r="AW22" s="14"/>
      <c r="AX22" s="104"/>
      <c r="AY22" s="14"/>
      <c r="AZ22" s="104"/>
      <c r="BA22" s="14"/>
      <c r="BB22" s="104"/>
      <c r="BC22" s="14"/>
      <c r="BD22" s="104"/>
      <c r="BE22" s="14"/>
      <c r="BF22" s="104"/>
      <c r="BG22" s="14"/>
      <c r="BH22" s="104"/>
      <c r="BI22" s="14"/>
      <c r="BJ22" s="104"/>
      <c r="BK22" s="14"/>
      <c r="BL22" s="104"/>
      <c r="BM22" s="14"/>
      <c r="BN22" s="104"/>
    </row>
    <row r="23" spans="1:66" s="12" customFormat="1" ht="40.799999999999997" customHeight="1" x14ac:dyDescent="0.25">
      <c r="A23"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3" s="15" t="s">
        <v>23</v>
      </c>
      <c r="C23" s="12" t="s">
        <v>16</v>
      </c>
      <c r="D23" s="13"/>
      <c r="E23" s="74">
        <v>43145</v>
      </c>
      <c r="F23" s="71">
        <f t="shared" si="12"/>
        <v>43147</v>
      </c>
      <c r="G23" s="24">
        <v>3</v>
      </c>
      <c r="H23" s="25">
        <v>0</v>
      </c>
      <c r="I23" s="89">
        <f>IF(OR(F23=0,E23=0),0,NETWORKDAYS(E23,F23))</f>
        <v>3</v>
      </c>
      <c r="J23" s="105"/>
      <c r="K23" s="14"/>
      <c r="L23" s="104"/>
      <c r="M23" s="14"/>
      <c r="N23" s="104"/>
      <c r="O23" s="14"/>
      <c r="P23" s="104"/>
      <c r="Q23" s="14"/>
      <c r="R23" s="104"/>
      <c r="S23" s="14"/>
      <c r="T23" s="104"/>
      <c r="U23" s="14"/>
      <c r="V23" s="104"/>
      <c r="W23" s="14"/>
      <c r="X23" s="104"/>
      <c r="Y23" s="14"/>
      <c r="Z23" s="104"/>
      <c r="AA23" s="14"/>
      <c r="AB23" s="106"/>
      <c r="AC23" s="106"/>
      <c r="AD23" s="106"/>
      <c r="AE23" s="14"/>
      <c r="AF23" s="104"/>
      <c r="AG23" s="14"/>
      <c r="AH23" s="104"/>
      <c r="AI23" s="14"/>
      <c r="AJ23" s="104"/>
      <c r="AK23" s="14"/>
      <c r="AL23" s="104"/>
      <c r="AM23" s="14"/>
      <c r="AN23" s="104"/>
      <c r="AO23" s="14"/>
      <c r="AP23" s="104"/>
      <c r="AQ23" s="14"/>
      <c r="AR23" s="104"/>
      <c r="AS23" s="14"/>
      <c r="AT23" s="104"/>
      <c r="AU23" s="14"/>
      <c r="AV23" s="104"/>
      <c r="AW23" s="14"/>
      <c r="AX23" s="104"/>
      <c r="AY23" s="14"/>
      <c r="AZ23" s="104"/>
      <c r="BA23" s="14"/>
      <c r="BB23" s="104"/>
      <c r="BC23" s="14"/>
      <c r="BD23" s="104"/>
      <c r="BE23" s="14"/>
      <c r="BF23" s="104"/>
      <c r="BG23" s="14"/>
      <c r="BH23" s="104"/>
      <c r="BI23" s="14"/>
      <c r="BJ23" s="104"/>
      <c r="BK23" s="14"/>
      <c r="BL23" s="104"/>
      <c r="BM23" s="14"/>
      <c r="BN23" s="104"/>
    </row>
    <row r="24" spans="1:66" s="12" customFormat="1" ht="39.6" customHeight="1" x14ac:dyDescent="0.25">
      <c r="A24"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4" s="15" t="s">
        <v>37</v>
      </c>
      <c r="C24" s="12" t="s">
        <v>16</v>
      </c>
      <c r="D24" s="13"/>
      <c r="E24" s="74">
        <v>43148</v>
      </c>
      <c r="F24" s="71">
        <f t="shared" si="12"/>
        <v>43153</v>
      </c>
      <c r="G24" s="24">
        <v>6</v>
      </c>
      <c r="H24" s="25">
        <v>0</v>
      </c>
      <c r="I24" s="89">
        <f>IF(OR(F24=0,E24=0),0,NETWORKDAYS(E24,F24))</f>
        <v>4</v>
      </c>
      <c r="J24" s="105"/>
      <c r="K24" s="14"/>
      <c r="L24" s="104"/>
      <c r="M24" s="14"/>
      <c r="N24" s="104"/>
      <c r="O24" s="14"/>
      <c r="P24" s="104"/>
      <c r="Q24" s="14"/>
      <c r="R24" s="104"/>
      <c r="S24" s="14"/>
      <c r="T24" s="104"/>
      <c r="U24" s="14"/>
      <c r="V24" s="104"/>
      <c r="W24" s="14"/>
      <c r="X24" s="104"/>
      <c r="Y24" s="14"/>
      <c r="Z24" s="104"/>
      <c r="AA24" s="14"/>
      <c r="AB24" s="104"/>
      <c r="AC24" s="14"/>
      <c r="AD24" s="104"/>
      <c r="AE24" s="106"/>
      <c r="AF24" s="106"/>
      <c r="AG24" s="106"/>
      <c r="AH24" s="106"/>
      <c r="AI24" s="106"/>
      <c r="AJ24" s="104"/>
      <c r="AK24" s="14"/>
      <c r="AL24" s="104"/>
      <c r="AM24" s="14"/>
      <c r="AN24" s="104"/>
      <c r="AO24" s="14"/>
      <c r="AP24" s="104"/>
      <c r="AQ24" s="14"/>
      <c r="AR24" s="104"/>
      <c r="AS24" s="14"/>
      <c r="AT24" s="104"/>
      <c r="AU24" s="14"/>
      <c r="AV24" s="104"/>
      <c r="AW24" s="14"/>
      <c r="AX24" s="104"/>
      <c r="AY24" s="14"/>
      <c r="AZ24" s="104"/>
      <c r="BA24" s="14"/>
      <c r="BB24" s="104"/>
      <c r="BC24" s="14"/>
      <c r="BD24" s="104"/>
      <c r="BE24" s="14"/>
      <c r="BF24" s="104"/>
      <c r="BG24" s="14"/>
      <c r="BH24" s="104"/>
      <c r="BI24" s="14"/>
      <c r="BJ24" s="104"/>
      <c r="BK24" s="14"/>
      <c r="BL24" s="104"/>
      <c r="BM24" s="14"/>
      <c r="BN24" s="104"/>
    </row>
    <row r="25" spans="1:66" s="12" customFormat="1" ht="40.799999999999997" customHeight="1" x14ac:dyDescent="0.25">
      <c r="A25"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5" s="15" t="s">
        <v>38</v>
      </c>
      <c r="C25" s="12" t="s">
        <v>13</v>
      </c>
      <c r="D25" s="13"/>
      <c r="E25" s="74">
        <v>43154</v>
      </c>
      <c r="F25" s="71">
        <f t="shared" si="12"/>
        <v>43156</v>
      </c>
      <c r="G25" s="24">
        <v>3</v>
      </c>
      <c r="H25" s="25">
        <v>0</v>
      </c>
      <c r="I25" s="89">
        <f>IF(OR(F25=0,E25=0),0,NETWORKDAYS(E25,F25))</f>
        <v>1</v>
      </c>
      <c r="J25" s="105"/>
      <c r="K25" s="14"/>
      <c r="L25" s="104"/>
      <c r="M25" s="14"/>
      <c r="N25" s="104"/>
      <c r="O25" s="14"/>
      <c r="P25" s="104"/>
      <c r="Q25" s="14"/>
      <c r="R25" s="104"/>
      <c r="S25" s="14"/>
      <c r="T25" s="104"/>
      <c r="U25" s="14"/>
      <c r="V25" s="104"/>
      <c r="W25" s="14"/>
      <c r="X25" s="104"/>
      <c r="Y25" s="14"/>
      <c r="Z25" s="104"/>
      <c r="AA25" s="14"/>
      <c r="AB25" s="104"/>
      <c r="AC25" s="14"/>
      <c r="AD25" s="106"/>
      <c r="AE25" s="106"/>
      <c r="AF25" s="106"/>
      <c r="AG25" s="106"/>
      <c r="AH25" s="106"/>
      <c r="AI25" s="106"/>
      <c r="AJ25" s="104"/>
      <c r="AK25" s="14"/>
      <c r="AL25" s="104"/>
      <c r="AM25" s="14"/>
      <c r="AN25" s="104"/>
      <c r="AO25" s="14"/>
      <c r="AP25" s="104"/>
      <c r="AQ25" s="14"/>
      <c r="AR25" s="104"/>
      <c r="AS25" s="14"/>
      <c r="AT25" s="104"/>
      <c r="AU25" s="14"/>
      <c r="AV25" s="104"/>
      <c r="AW25" s="14"/>
      <c r="AX25" s="104"/>
      <c r="AY25" s="14"/>
      <c r="AZ25" s="104"/>
      <c r="BA25" s="14"/>
      <c r="BB25" s="104"/>
      <c r="BC25" s="14"/>
      <c r="BD25" s="104"/>
      <c r="BE25" s="14"/>
      <c r="BF25" s="104"/>
      <c r="BG25" s="14"/>
      <c r="BH25" s="104"/>
      <c r="BI25" s="14"/>
      <c r="BJ25" s="104"/>
      <c r="BK25" s="14"/>
      <c r="BL25" s="104"/>
      <c r="BM25" s="14"/>
      <c r="BN25" s="104"/>
    </row>
    <row r="26" spans="1:66" s="11" customFormat="1" ht="17.399999999999999" x14ac:dyDescent="0.25">
      <c r="A26" s="80" t="str">
        <f>IF(ISERROR(VALUE(SUBSTITUTE(prevWBS,".",""))),"1",IF(ISERROR(FIND("`",SUBSTITUTE(prevWBS,".","`",1))),TEXT(VALUE(prevWBS)+1,"#"),TEXT(VALUE(LEFT(prevWBS,FIND("`",SUBSTITUTE(prevWBS,".","`",1))-1))+1,"#")))</f>
        <v>4</v>
      </c>
      <c r="B26" s="67" t="s">
        <v>27</v>
      </c>
      <c r="D26" s="16"/>
      <c r="E26" s="72"/>
      <c r="F26" s="73"/>
      <c r="G26" s="17"/>
      <c r="H26" s="18"/>
      <c r="I26" s="90"/>
      <c r="J26" s="82"/>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row>
    <row r="27" spans="1:66" s="12" customFormat="1" ht="53.4" customHeight="1" x14ac:dyDescent="0.25">
      <c r="A27" s="79" t="str">
        <f t="shared" ref="A27:A32" si="13">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7" s="15" t="s">
        <v>40</v>
      </c>
      <c r="C27" s="12" t="s">
        <v>14</v>
      </c>
      <c r="D27" s="13"/>
      <c r="E27" s="74">
        <v>43129</v>
      </c>
      <c r="F27" s="71">
        <f t="shared" ref="F27:F32" si="14">IF(ISBLANK(E27)," - ",IF(G27=0,E27,E27+G27-1))</f>
        <v>43129</v>
      </c>
      <c r="G27" s="24">
        <v>1</v>
      </c>
      <c r="H27" s="25">
        <v>0</v>
      </c>
      <c r="I27" s="89">
        <f t="shared" ref="I27:I32" si="15">IF(OR(F27=0,E27=0),0,NETWORKDAYS(E27,F27))</f>
        <v>1</v>
      </c>
      <c r="J27" s="105"/>
      <c r="K27" s="14"/>
      <c r="L27" s="104"/>
      <c r="M27" s="14"/>
      <c r="N27" s="104"/>
      <c r="O27" s="14"/>
      <c r="P27" s="104"/>
      <c r="Q27" s="14"/>
      <c r="R27" s="104"/>
      <c r="S27" s="14"/>
      <c r="T27" s="104"/>
      <c r="U27" s="14"/>
      <c r="V27" s="104"/>
      <c r="W27" s="14"/>
      <c r="X27" s="104"/>
      <c r="Y27" s="14"/>
      <c r="Z27" s="104"/>
      <c r="AA27" s="14"/>
      <c r="AB27" s="104"/>
      <c r="AC27" s="14"/>
      <c r="AD27" s="104"/>
      <c r="AE27" s="14"/>
      <c r="AF27" s="104"/>
      <c r="AG27" s="14"/>
      <c r="AH27" s="104"/>
      <c r="AI27" s="106"/>
      <c r="AJ27" s="106"/>
      <c r="AK27" s="106"/>
      <c r="AL27" s="106"/>
      <c r="AM27" s="106"/>
      <c r="AN27" s="104"/>
      <c r="AO27" s="107"/>
      <c r="AP27" s="104"/>
      <c r="AQ27" s="107"/>
      <c r="AR27" s="104"/>
      <c r="AS27" s="107"/>
      <c r="AT27" s="104"/>
      <c r="AU27" s="107"/>
      <c r="AV27" s="104"/>
      <c r="AW27" s="107"/>
      <c r="AX27" s="104"/>
      <c r="AY27" s="107"/>
      <c r="AZ27" s="104"/>
      <c r="BA27" s="107"/>
      <c r="BB27" s="104"/>
      <c r="BC27" s="107"/>
      <c r="BD27" s="104"/>
      <c r="BE27" s="107"/>
      <c r="BF27" s="104"/>
      <c r="BG27" s="107"/>
      <c r="BH27" s="104"/>
      <c r="BI27" s="107"/>
      <c r="BJ27" s="104"/>
      <c r="BK27" s="107"/>
      <c r="BL27" s="104"/>
      <c r="BM27" s="107"/>
      <c r="BN27" s="104"/>
    </row>
    <row r="28" spans="1:66" s="12" customFormat="1" ht="51" customHeight="1" x14ac:dyDescent="0.25">
      <c r="A28" s="79" t="str">
        <f t="shared" si="13"/>
        <v>4.2</v>
      </c>
      <c r="B28" s="15" t="s">
        <v>41</v>
      </c>
      <c r="C28" s="12" t="s">
        <v>13</v>
      </c>
      <c r="D28" s="13"/>
      <c r="E28" s="74">
        <v>43130</v>
      </c>
      <c r="F28" s="71">
        <f t="shared" si="14"/>
        <v>43130</v>
      </c>
      <c r="G28" s="24">
        <v>1</v>
      </c>
      <c r="H28" s="25">
        <v>0</v>
      </c>
      <c r="I28" s="89">
        <f t="shared" si="15"/>
        <v>1</v>
      </c>
      <c r="J28" s="105"/>
      <c r="K28" s="14"/>
      <c r="L28" s="104"/>
      <c r="M28" s="14"/>
      <c r="N28" s="104"/>
      <c r="O28" s="14"/>
      <c r="P28" s="104"/>
      <c r="Q28" s="14"/>
      <c r="R28" s="104"/>
      <c r="S28" s="14"/>
      <c r="T28" s="104"/>
      <c r="U28" s="14"/>
      <c r="V28" s="104"/>
      <c r="W28" s="14"/>
      <c r="X28" s="104"/>
      <c r="Y28" s="14"/>
      <c r="Z28" s="104"/>
      <c r="AA28" s="14"/>
      <c r="AB28" s="104"/>
      <c r="AC28" s="14"/>
      <c r="AD28" s="104"/>
      <c r="AE28" s="14"/>
      <c r="AF28" s="104"/>
      <c r="AG28" s="14"/>
      <c r="AH28" s="104"/>
      <c r="AI28" s="106"/>
      <c r="AJ28" s="106"/>
      <c r="AK28" s="106"/>
      <c r="AL28" s="106"/>
      <c r="AM28" s="106"/>
      <c r="AN28" s="104"/>
      <c r="AO28" s="107"/>
      <c r="AP28" s="104"/>
      <c r="AQ28" s="107"/>
      <c r="AR28" s="104"/>
      <c r="AS28" s="107"/>
      <c r="AT28" s="104"/>
      <c r="AU28" s="107"/>
      <c r="AV28" s="104"/>
      <c r="AW28" s="107"/>
      <c r="AX28" s="104"/>
      <c r="AY28" s="107"/>
      <c r="AZ28" s="104"/>
      <c r="BA28" s="107"/>
      <c r="BB28" s="104"/>
      <c r="BC28" s="107"/>
      <c r="BD28" s="104"/>
      <c r="BE28" s="107"/>
      <c r="BF28" s="104"/>
      <c r="BG28" s="107"/>
      <c r="BH28" s="104"/>
      <c r="BI28" s="107"/>
      <c r="BJ28" s="104"/>
      <c r="BK28" s="107"/>
      <c r="BL28" s="104"/>
      <c r="BM28" s="107"/>
      <c r="BN28" s="104"/>
    </row>
    <row r="29" spans="1:66" s="12" customFormat="1" ht="29.4" customHeight="1" x14ac:dyDescent="0.25">
      <c r="A29" s="79" t="str">
        <f t="shared" si="13"/>
        <v>4.3</v>
      </c>
      <c r="B29" s="15" t="s">
        <v>39</v>
      </c>
      <c r="C29" s="12" t="s">
        <v>14</v>
      </c>
      <c r="D29" s="13"/>
      <c r="E29" s="74">
        <v>43131</v>
      </c>
      <c r="F29" s="71">
        <f t="shared" si="14"/>
        <v>43131</v>
      </c>
      <c r="G29" s="24">
        <v>1</v>
      </c>
      <c r="H29" s="25">
        <v>0</v>
      </c>
      <c r="I29" s="89">
        <f t="shared" si="15"/>
        <v>1</v>
      </c>
      <c r="J29" s="105"/>
      <c r="K29" s="14"/>
      <c r="L29" s="104"/>
      <c r="M29" s="14"/>
      <c r="N29" s="104"/>
      <c r="O29" s="14"/>
      <c r="P29" s="104"/>
      <c r="Q29" s="14"/>
      <c r="R29" s="104"/>
      <c r="S29" s="14"/>
      <c r="T29" s="104"/>
      <c r="U29" s="14"/>
      <c r="V29" s="104"/>
      <c r="W29" s="14"/>
      <c r="X29" s="104"/>
      <c r="Y29" s="14"/>
      <c r="Z29" s="104"/>
      <c r="AA29" s="14"/>
      <c r="AB29" s="104"/>
      <c r="AC29" s="14"/>
      <c r="AD29" s="104"/>
      <c r="AE29" s="14"/>
      <c r="AF29" s="104"/>
      <c r="AG29" s="14"/>
      <c r="AH29" s="104"/>
      <c r="AI29" s="14"/>
      <c r="AJ29" s="104"/>
      <c r="AK29" s="14"/>
      <c r="AL29" s="104"/>
      <c r="AM29" s="14"/>
      <c r="AN29" s="106"/>
      <c r="AO29" s="106"/>
      <c r="AP29" s="104"/>
      <c r="AQ29" s="107"/>
      <c r="AR29" s="104"/>
      <c r="AS29" s="107"/>
      <c r="AT29" s="104"/>
      <c r="AU29" s="107"/>
      <c r="AV29" s="104"/>
      <c r="AW29" s="107"/>
      <c r="AX29" s="104"/>
      <c r="AY29" s="107"/>
      <c r="AZ29" s="104"/>
      <c r="BA29" s="107"/>
      <c r="BB29" s="104"/>
      <c r="BC29" s="107"/>
      <c r="BD29" s="104"/>
      <c r="BE29" s="107"/>
      <c r="BF29" s="104"/>
      <c r="BG29" s="107"/>
      <c r="BH29" s="104"/>
      <c r="BI29" s="107"/>
      <c r="BJ29" s="104"/>
      <c r="BK29" s="107"/>
      <c r="BL29" s="104"/>
      <c r="BM29" s="107"/>
      <c r="BN29" s="104"/>
    </row>
    <row r="30" spans="1:66" s="12" customFormat="1" ht="36" customHeight="1" x14ac:dyDescent="0.25">
      <c r="A30" s="79" t="str">
        <f t="shared" si="13"/>
        <v>4.4</v>
      </c>
      <c r="B30" s="15" t="s">
        <v>42</v>
      </c>
      <c r="C30" s="12" t="s">
        <v>16</v>
      </c>
      <c r="D30" s="13"/>
      <c r="E30" s="74">
        <v>43132</v>
      </c>
      <c r="F30" s="71">
        <f t="shared" si="14"/>
        <v>43132</v>
      </c>
      <c r="G30" s="24">
        <v>1</v>
      </c>
      <c r="H30" s="25">
        <v>0</v>
      </c>
      <c r="I30" s="89">
        <f t="shared" si="15"/>
        <v>1</v>
      </c>
      <c r="J30" s="105"/>
      <c r="K30" s="14"/>
      <c r="L30" s="104"/>
      <c r="M30" s="14"/>
      <c r="N30" s="104"/>
      <c r="O30" s="14"/>
      <c r="P30" s="104"/>
      <c r="Q30" s="14"/>
      <c r="R30" s="104"/>
      <c r="S30" s="14"/>
      <c r="T30" s="104"/>
      <c r="U30" s="14"/>
      <c r="V30" s="104"/>
      <c r="W30" s="14"/>
      <c r="X30" s="104"/>
      <c r="Y30" s="14"/>
      <c r="Z30" s="104"/>
      <c r="AA30" s="14"/>
      <c r="AB30" s="104"/>
      <c r="AC30" s="14"/>
      <c r="AD30" s="104"/>
      <c r="AE30" s="14"/>
      <c r="AF30" s="104"/>
      <c r="AG30" s="14"/>
      <c r="AH30" s="104"/>
      <c r="AI30" s="14"/>
      <c r="AJ30" s="104"/>
      <c r="AK30" s="14"/>
      <c r="AL30" s="104"/>
      <c r="AM30" s="14"/>
      <c r="AN30" s="104"/>
      <c r="AO30" s="106"/>
      <c r="AP30" s="106"/>
      <c r="AQ30" s="106"/>
      <c r="AR30" s="106"/>
      <c r="AS30" s="106"/>
      <c r="AT30" s="106"/>
      <c r="AU30" s="107"/>
      <c r="AV30" s="104"/>
      <c r="AW30" s="107"/>
      <c r="AX30" s="104"/>
      <c r="AY30" s="107"/>
      <c r="AZ30" s="104"/>
      <c r="BA30" s="107"/>
      <c r="BB30" s="104"/>
      <c r="BC30" s="107"/>
      <c r="BD30" s="104"/>
      <c r="BE30" s="107"/>
      <c r="BF30" s="104"/>
      <c r="BG30" s="107"/>
      <c r="BH30" s="104"/>
      <c r="BI30" s="107"/>
      <c r="BJ30" s="104"/>
      <c r="BK30" s="107"/>
      <c r="BL30" s="104"/>
      <c r="BM30" s="107"/>
      <c r="BN30" s="104"/>
    </row>
    <row r="31" spans="1:66" s="12" customFormat="1" ht="43.2" customHeight="1" x14ac:dyDescent="0.25">
      <c r="A31" s="79" t="str">
        <f t="shared" si="13"/>
        <v>4.5</v>
      </c>
      <c r="B31" s="15" t="s">
        <v>43</v>
      </c>
      <c r="C31" s="12" t="s">
        <v>13</v>
      </c>
      <c r="D31" s="13"/>
      <c r="E31" s="74">
        <v>43133</v>
      </c>
      <c r="F31" s="71">
        <f t="shared" ref="F31" si="16">IF(ISBLANK(E31)," - ",IF(G31=0,E31,E31+G31-1))</f>
        <v>43133</v>
      </c>
      <c r="G31" s="24">
        <v>1</v>
      </c>
      <c r="H31" s="25">
        <v>0</v>
      </c>
      <c r="I31" s="89">
        <f t="shared" si="15"/>
        <v>1</v>
      </c>
      <c r="J31" s="105"/>
      <c r="K31" s="14"/>
      <c r="L31" s="104"/>
      <c r="M31" s="14"/>
      <c r="N31" s="104"/>
      <c r="O31" s="14"/>
      <c r="P31" s="104"/>
      <c r="Q31" s="14"/>
      <c r="R31" s="104"/>
      <c r="S31" s="14"/>
      <c r="T31" s="104"/>
      <c r="U31" s="14"/>
      <c r="V31" s="104"/>
      <c r="W31" s="14"/>
      <c r="X31" s="104"/>
      <c r="Y31" s="14"/>
      <c r="Z31" s="104"/>
      <c r="AA31" s="14"/>
      <c r="AB31" s="104"/>
      <c r="AC31" s="14"/>
      <c r="AD31" s="104"/>
      <c r="AE31" s="14"/>
      <c r="AF31" s="104"/>
      <c r="AG31" s="14"/>
      <c r="AH31" s="104"/>
      <c r="AI31" s="14"/>
      <c r="AJ31" s="104"/>
      <c r="AK31" s="14"/>
      <c r="AL31" s="104"/>
      <c r="AM31" s="14"/>
      <c r="AN31" s="104"/>
      <c r="AO31" s="106"/>
      <c r="AP31" s="106"/>
      <c r="AQ31" s="106"/>
      <c r="AR31" s="106"/>
      <c r="AS31" s="106"/>
      <c r="AT31" s="106"/>
      <c r="AU31" s="107"/>
      <c r="AV31" s="104"/>
      <c r="AW31" s="107"/>
      <c r="AX31" s="104"/>
      <c r="AY31" s="107"/>
      <c r="AZ31" s="104"/>
      <c r="BA31" s="107"/>
      <c r="BB31" s="104"/>
      <c r="BC31" s="107"/>
      <c r="BD31" s="104"/>
      <c r="BE31" s="107"/>
      <c r="BF31" s="104"/>
      <c r="BG31" s="107"/>
      <c r="BH31" s="104"/>
      <c r="BI31" s="107"/>
      <c r="BJ31" s="104"/>
      <c r="BK31" s="107"/>
      <c r="BL31" s="104"/>
      <c r="BM31" s="107"/>
      <c r="BN31" s="104"/>
    </row>
    <row r="32" spans="1:66" s="12" customFormat="1" ht="30" customHeight="1" x14ac:dyDescent="0.25">
      <c r="A32" s="79" t="str">
        <f t="shared" si="13"/>
        <v>4.6</v>
      </c>
      <c r="B32" s="15" t="s">
        <v>44</v>
      </c>
      <c r="C32" s="12" t="s">
        <v>14</v>
      </c>
      <c r="D32" s="13"/>
      <c r="E32" s="74">
        <v>43133</v>
      </c>
      <c r="F32" s="71">
        <f t="shared" si="14"/>
        <v>43133</v>
      </c>
      <c r="G32" s="24">
        <v>1</v>
      </c>
      <c r="H32" s="25">
        <v>0</v>
      </c>
      <c r="I32" s="89">
        <f t="shared" si="15"/>
        <v>1</v>
      </c>
      <c r="J32" s="105"/>
      <c r="K32" s="14"/>
      <c r="L32" s="104"/>
      <c r="M32" s="14"/>
      <c r="N32" s="104"/>
      <c r="O32" s="14"/>
      <c r="P32" s="104"/>
      <c r="Q32" s="14"/>
      <c r="R32" s="104"/>
      <c r="S32" s="14"/>
      <c r="T32" s="104"/>
      <c r="U32" s="14"/>
      <c r="V32" s="104"/>
      <c r="W32" s="14"/>
      <c r="X32" s="104"/>
      <c r="Y32" s="14"/>
      <c r="Z32" s="104"/>
      <c r="AA32" s="14"/>
      <c r="AB32" s="104"/>
      <c r="AC32" s="14"/>
      <c r="AD32" s="104"/>
      <c r="AE32" s="14"/>
      <c r="AF32" s="104"/>
      <c r="AG32" s="14"/>
      <c r="AH32" s="104"/>
      <c r="AI32" s="14"/>
      <c r="AJ32" s="104"/>
      <c r="AK32" s="14"/>
      <c r="AL32" s="104"/>
      <c r="AM32" s="14"/>
      <c r="AN32" s="104"/>
      <c r="AO32" s="14"/>
      <c r="AP32" s="104"/>
      <c r="AQ32" s="14"/>
      <c r="AR32" s="104"/>
      <c r="AS32" s="14"/>
      <c r="AT32" s="106"/>
      <c r="AU32" s="106"/>
      <c r="AV32" s="106"/>
      <c r="AW32" s="107"/>
      <c r="AX32" s="104"/>
      <c r="AY32" s="107"/>
      <c r="AZ32" s="104"/>
      <c r="BA32" s="107"/>
      <c r="BB32" s="104"/>
      <c r="BC32" s="107"/>
      <c r="BD32" s="104"/>
      <c r="BE32" s="107"/>
      <c r="BF32" s="104"/>
      <c r="BG32" s="107"/>
      <c r="BH32" s="104"/>
      <c r="BI32" s="107"/>
      <c r="BJ32" s="104"/>
      <c r="BK32" s="107"/>
      <c r="BL32" s="104"/>
      <c r="BM32" s="107"/>
      <c r="BN32" s="104"/>
    </row>
    <row r="33" spans="1:68" s="11" customFormat="1" ht="17.399999999999999" x14ac:dyDescent="0.25">
      <c r="A33" s="80" t="str">
        <f>IF(ISERROR(VALUE(SUBSTITUTE(prevWBS,".",""))),"1",IF(ISERROR(FIND("`",SUBSTITUTE(prevWBS,".","`",1))),TEXT(VALUE(prevWBS)+1,"#"),TEXT(VALUE(LEFT(prevWBS,FIND("`",SUBSTITUTE(prevWBS,".","`",1))-1))+1,"#")))</f>
        <v>5</v>
      </c>
      <c r="B33" s="67" t="s">
        <v>28</v>
      </c>
      <c r="D33" s="16"/>
      <c r="E33" s="72"/>
      <c r="F33" s="73"/>
      <c r="G33" s="17"/>
      <c r="H33" s="18"/>
      <c r="I33" s="90"/>
      <c r="J33" s="82"/>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row>
    <row r="34" spans="1:68" s="12" customFormat="1" ht="37.200000000000003" customHeight="1" x14ac:dyDescent="0.25">
      <c r="A34"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4" s="15" t="s">
        <v>45</v>
      </c>
      <c r="C34" s="12" t="s">
        <v>14</v>
      </c>
      <c r="D34" s="13"/>
      <c r="E34" s="74">
        <v>43129</v>
      </c>
      <c r="F34" s="71">
        <f t="shared" ref="F34:F38" si="17">IF(ISBLANK(E34)," - ",IF(G34=0,E34,E34+G34-1))</f>
        <v>43129</v>
      </c>
      <c r="G34" s="24">
        <v>1</v>
      </c>
      <c r="H34" s="25">
        <v>0</v>
      </c>
      <c r="I34" s="89">
        <f>IF(OR(F34=0,E34=0),0,NETWORKDAYS(E34,F34))</f>
        <v>1</v>
      </c>
      <c r="J34" s="105"/>
      <c r="K34" s="14"/>
      <c r="L34" s="104"/>
      <c r="M34" s="14"/>
      <c r="N34" s="104"/>
      <c r="O34" s="14"/>
      <c r="P34" s="104"/>
      <c r="Q34" s="14"/>
      <c r="R34" s="104"/>
      <c r="S34" s="14"/>
      <c r="T34" s="104"/>
      <c r="U34" s="14"/>
      <c r="V34" s="104"/>
      <c r="W34" s="14"/>
      <c r="X34" s="104"/>
      <c r="Y34" s="14"/>
      <c r="Z34" s="104"/>
      <c r="AA34" s="14"/>
      <c r="AB34" s="104"/>
      <c r="AC34" s="14"/>
      <c r="AD34" s="104"/>
      <c r="AE34" s="14"/>
      <c r="AF34" s="104"/>
      <c r="AG34" s="14"/>
      <c r="AH34" s="104"/>
      <c r="AI34" s="14"/>
      <c r="AJ34" s="104"/>
      <c r="AK34" s="14"/>
      <c r="AL34" s="104"/>
      <c r="AM34" s="14"/>
      <c r="AN34" s="104"/>
      <c r="AO34" s="14"/>
      <c r="AP34" s="104"/>
      <c r="AQ34" s="14"/>
      <c r="AR34" s="104"/>
      <c r="AS34" s="14"/>
      <c r="AT34" s="104"/>
      <c r="AU34" s="14"/>
      <c r="AV34" s="104"/>
      <c r="AW34" s="106"/>
      <c r="AX34" s="104"/>
      <c r="AZ34" s="104"/>
      <c r="BB34" s="104"/>
      <c r="BD34" s="104"/>
      <c r="BF34" s="104"/>
      <c r="BH34" s="104"/>
      <c r="BJ34" s="104"/>
      <c r="BL34" s="104"/>
      <c r="BN34" s="104"/>
    </row>
    <row r="35" spans="1:68" s="12" customFormat="1" ht="34.200000000000003" x14ac:dyDescent="0.25">
      <c r="A35"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5" s="15" t="s">
        <v>46</v>
      </c>
      <c r="C35" s="12" t="s">
        <v>14</v>
      </c>
      <c r="D35" s="13"/>
      <c r="E35" s="74">
        <v>43130</v>
      </c>
      <c r="F35" s="71">
        <f t="shared" si="17"/>
        <v>43130</v>
      </c>
      <c r="G35" s="24">
        <v>1</v>
      </c>
      <c r="H35" s="25">
        <v>0</v>
      </c>
      <c r="I35" s="89">
        <f>IF(OR(F35=0,E35=0),0,NETWORKDAYS(E35,F35))</f>
        <v>1</v>
      </c>
      <c r="J35" s="105"/>
      <c r="K35" s="14"/>
      <c r="L35" s="104"/>
      <c r="M35" s="14"/>
      <c r="N35" s="104"/>
      <c r="O35" s="14"/>
      <c r="P35" s="104"/>
      <c r="Q35" s="14"/>
      <c r="R35" s="104"/>
      <c r="S35" s="14"/>
      <c r="T35" s="104"/>
      <c r="U35" s="14"/>
      <c r="V35" s="104"/>
      <c r="W35" s="14"/>
      <c r="X35" s="104"/>
      <c r="Y35" s="14"/>
      <c r="Z35" s="104"/>
      <c r="AA35" s="14"/>
      <c r="AB35" s="104"/>
      <c r="AC35" s="14"/>
      <c r="AD35" s="104"/>
      <c r="AE35" s="14"/>
      <c r="AF35" s="104"/>
      <c r="AG35" s="14"/>
      <c r="AH35" s="104"/>
      <c r="AI35" s="14"/>
      <c r="AJ35" s="104"/>
      <c r="AK35" s="14"/>
      <c r="AL35" s="104"/>
      <c r="AM35" s="14"/>
      <c r="AN35" s="104"/>
      <c r="AO35" s="14"/>
      <c r="AP35" s="104"/>
      <c r="AQ35" s="14"/>
      <c r="AR35" s="104"/>
      <c r="AS35" s="14"/>
      <c r="AT35" s="104"/>
      <c r="AU35" s="14"/>
      <c r="AV35" s="104"/>
      <c r="AW35" s="14"/>
      <c r="AX35" s="106"/>
      <c r="AY35" s="107"/>
      <c r="AZ35" s="104"/>
      <c r="BB35" s="104"/>
      <c r="BD35" s="104"/>
      <c r="BF35" s="104"/>
      <c r="BH35" s="104"/>
      <c r="BJ35" s="104"/>
      <c r="BL35" s="104"/>
      <c r="BN35" s="104"/>
      <c r="BP35" s="109"/>
    </row>
    <row r="36" spans="1:68" s="12" customFormat="1" ht="31.8" customHeight="1" x14ac:dyDescent="0.25">
      <c r="A36"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6" s="15" t="s">
        <v>47</v>
      </c>
      <c r="C36" s="12" t="s">
        <v>16</v>
      </c>
      <c r="D36" s="13"/>
      <c r="E36" s="74">
        <v>43131</v>
      </c>
      <c r="F36" s="71">
        <f t="shared" si="17"/>
        <v>43131</v>
      </c>
      <c r="G36" s="24">
        <v>1</v>
      </c>
      <c r="H36" s="25">
        <v>0</v>
      </c>
      <c r="I36" s="89">
        <f>IF(OR(F36=0,E36=0),0,NETWORKDAYS(E36,F36))</f>
        <v>1</v>
      </c>
      <c r="J36" s="105"/>
      <c r="K36" s="14"/>
      <c r="L36" s="104"/>
      <c r="M36" s="14"/>
      <c r="N36" s="104"/>
      <c r="O36" s="14"/>
      <c r="P36" s="104"/>
      <c r="Q36" s="14"/>
      <c r="R36" s="104"/>
      <c r="S36" s="14"/>
      <c r="T36" s="104"/>
      <c r="U36" s="14"/>
      <c r="V36" s="104"/>
      <c r="W36" s="14"/>
      <c r="X36" s="104"/>
      <c r="Y36" s="14"/>
      <c r="Z36" s="104"/>
      <c r="AA36" s="14"/>
      <c r="AB36" s="104"/>
      <c r="AC36" s="14"/>
      <c r="AD36" s="104"/>
      <c r="AE36" s="14"/>
      <c r="AF36" s="104"/>
      <c r="AG36" s="14"/>
      <c r="AH36" s="104"/>
      <c r="AI36" s="14"/>
      <c r="AJ36" s="104"/>
      <c r="AK36" s="14"/>
      <c r="AL36" s="104"/>
      <c r="AM36" s="14"/>
      <c r="AN36" s="104"/>
      <c r="AO36" s="14"/>
      <c r="AP36" s="104"/>
      <c r="AQ36" s="14"/>
      <c r="AR36" s="104"/>
      <c r="AS36" s="14"/>
      <c r="AT36" s="104"/>
      <c r="AU36" s="14"/>
      <c r="AV36" s="104"/>
      <c r="AW36" s="14"/>
      <c r="AX36" s="106"/>
      <c r="AZ36" s="104"/>
      <c r="BB36" s="104"/>
      <c r="BD36" s="104"/>
      <c r="BF36" s="104"/>
      <c r="BH36" s="104"/>
      <c r="BJ36" s="104"/>
      <c r="BL36" s="104"/>
      <c r="BN36" s="104"/>
    </row>
    <row r="37" spans="1:68" s="12" customFormat="1" ht="45.6" x14ac:dyDescent="0.25">
      <c r="A37"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37" s="15" t="s">
        <v>48</v>
      </c>
      <c r="C37" s="12" t="s">
        <v>13</v>
      </c>
      <c r="D37" s="13"/>
      <c r="E37" s="74">
        <v>43132</v>
      </c>
      <c r="F37" s="71">
        <f t="shared" si="17"/>
        <v>43132</v>
      </c>
      <c r="G37" s="24">
        <v>1</v>
      </c>
      <c r="H37" s="25">
        <v>0</v>
      </c>
      <c r="I37" s="89">
        <f>IF(OR(F37=0,E37=0),0,NETWORKDAYS(E37,F37))</f>
        <v>1</v>
      </c>
      <c r="J37" s="105"/>
      <c r="K37" s="14"/>
      <c r="L37" s="104"/>
      <c r="M37" s="14"/>
      <c r="N37" s="104"/>
      <c r="O37" s="14"/>
      <c r="P37" s="104"/>
      <c r="Q37" s="14"/>
      <c r="R37" s="104"/>
      <c r="S37" s="14"/>
      <c r="T37" s="104"/>
      <c r="U37" s="14"/>
      <c r="V37" s="104"/>
      <c r="W37" s="14"/>
      <c r="X37" s="104"/>
      <c r="Y37" s="14"/>
      <c r="Z37" s="104"/>
      <c r="AA37" s="14"/>
      <c r="AB37" s="104"/>
      <c r="AC37" s="14"/>
      <c r="AD37" s="104"/>
      <c r="AE37" s="14"/>
      <c r="AF37" s="104"/>
      <c r="AG37" s="14"/>
      <c r="AH37" s="104"/>
      <c r="AI37" s="14"/>
      <c r="AJ37" s="104"/>
      <c r="AK37" s="14"/>
      <c r="AL37" s="104"/>
      <c r="AM37" s="14"/>
      <c r="AN37" s="104"/>
      <c r="AO37" s="14"/>
      <c r="AP37" s="104"/>
      <c r="AQ37" s="14"/>
      <c r="AR37" s="104"/>
      <c r="AS37" s="14"/>
      <c r="AT37" s="104"/>
      <c r="AU37" s="14"/>
      <c r="AV37" s="104"/>
      <c r="AW37" s="14"/>
      <c r="AX37" s="106"/>
      <c r="AY37" s="106"/>
      <c r="AZ37" s="104"/>
      <c r="BB37" s="104"/>
      <c r="BD37" s="104"/>
      <c r="BF37" s="104"/>
      <c r="BH37" s="104"/>
      <c r="BJ37" s="104"/>
      <c r="BL37" s="104"/>
      <c r="BN37" s="104"/>
    </row>
    <row r="38" spans="1:68" s="12" customFormat="1" ht="41.4" customHeight="1" x14ac:dyDescent="0.25">
      <c r="A38"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5.5</v>
      </c>
      <c r="B38" s="15" t="s">
        <v>49</v>
      </c>
      <c r="C38" s="12" t="s">
        <v>16</v>
      </c>
      <c r="D38" s="13"/>
      <c r="E38" s="74">
        <v>43133</v>
      </c>
      <c r="F38" s="71">
        <f t="shared" si="17"/>
        <v>43133</v>
      </c>
      <c r="G38" s="24">
        <v>1</v>
      </c>
      <c r="H38" s="25">
        <v>0</v>
      </c>
      <c r="I38" s="89">
        <f>IF(OR(F38=0,E38=0),0,NETWORKDAYS(E38,F38))</f>
        <v>1</v>
      </c>
      <c r="J38" s="105"/>
      <c r="K38" s="14"/>
      <c r="L38" s="104"/>
      <c r="M38" s="14"/>
      <c r="N38" s="104"/>
      <c r="O38" s="14"/>
      <c r="P38" s="104"/>
      <c r="Q38" s="14"/>
      <c r="R38" s="104"/>
      <c r="S38" s="14"/>
      <c r="T38" s="104"/>
      <c r="U38" s="14"/>
      <c r="V38" s="104"/>
      <c r="W38" s="14"/>
      <c r="X38" s="104"/>
      <c r="Y38" s="14"/>
      <c r="Z38" s="104"/>
      <c r="AA38" s="14"/>
      <c r="AB38" s="104"/>
      <c r="AC38" s="14"/>
      <c r="AD38" s="104"/>
      <c r="AE38" s="14"/>
      <c r="AF38" s="104"/>
      <c r="AG38" s="14"/>
      <c r="AH38" s="104"/>
      <c r="AI38" s="14"/>
      <c r="AJ38" s="104"/>
      <c r="AK38" s="14"/>
      <c r="AL38" s="104"/>
      <c r="AM38" s="14"/>
      <c r="AN38" s="104"/>
      <c r="AO38" s="14"/>
      <c r="AP38" s="104"/>
      <c r="AQ38" s="14"/>
      <c r="AR38" s="104"/>
      <c r="AS38" s="14"/>
      <c r="AT38" s="104"/>
      <c r="AU38" s="14"/>
      <c r="AV38" s="104"/>
      <c r="AW38" s="14"/>
      <c r="AX38" s="104"/>
      <c r="AY38" s="106"/>
      <c r="AZ38" s="106"/>
      <c r="BA38" s="106"/>
      <c r="BB38" s="104"/>
      <c r="BD38" s="104"/>
      <c r="BF38" s="104"/>
      <c r="BH38" s="104"/>
      <c r="BJ38" s="104"/>
      <c r="BL38" s="104"/>
      <c r="BN38" s="104"/>
    </row>
    <row r="39" spans="1:68" s="11" customFormat="1" ht="17.399999999999999" x14ac:dyDescent="0.25">
      <c r="A39" s="80" t="str">
        <f>IF(ISERROR(VALUE(SUBSTITUTE(prevWBS,".",""))),"1",IF(ISERROR(FIND("`",SUBSTITUTE(prevWBS,".","`",1))),TEXT(VALUE(prevWBS)+1,"#"),TEXT(VALUE(LEFT(prevWBS,FIND("`",SUBSTITUTE(prevWBS,".","`",1))-1))+1,"#")))</f>
        <v>6</v>
      </c>
      <c r="B39" s="67" t="s">
        <v>29</v>
      </c>
      <c r="D39" s="16"/>
      <c r="E39" s="72"/>
      <c r="F39" s="73"/>
      <c r="G39" s="17"/>
      <c r="H39" s="18"/>
      <c r="I39" s="90"/>
      <c r="J39" s="82"/>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row>
    <row r="40" spans="1:68" s="12" customFormat="1" ht="28.8" customHeight="1" x14ac:dyDescent="0.25">
      <c r="A40"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40" s="15" t="s">
        <v>50</v>
      </c>
      <c r="C40" s="12" t="s">
        <v>16</v>
      </c>
      <c r="D40" s="13"/>
      <c r="E40" s="74">
        <v>43129</v>
      </c>
      <c r="F40" s="71">
        <f t="shared" ref="F40:F42" si="18">IF(ISBLANK(E40)," - ",IF(G40=0,E40,E40+G40-1))</f>
        <v>43129</v>
      </c>
      <c r="G40" s="24">
        <v>1</v>
      </c>
      <c r="H40" s="25">
        <v>0</v>
      </c>
      <c r="I40" s="89">
        <f>IF(OR(F40=0,E40=0),0,NETWORKDAYS(E40,F40))</f>
        <v>1</v>
      </c>
      <c r="J40" s="105"/>
      <c r="K40" s="14"/>
      <c r="L40" s="104"/>
      <c r="M40" s="14"/>
      <c r="N40" s="104"/>
      <c r="O40" s="14"/>
      <c r="P40" s="104"/>
      <c r="Q40" s="14"/>
      <c r="R40" s="104"/>
      <c r="S40" s="14"/>
      <c r="T40" s="104"/>
      <c r="U40" s="14"/>
      <c r="V40" s="104"/>
      <c r="W40" s="14"/>
      <c r="X40" s="104"/>
      <c r="Y40" s="14"/>
      <c r="Z40" s="104"/>
      <c r="AA40" s="14"/>
      <c r="AB40" s="104"/>
      <c r="AC40" s="14"/>
      <c r="AD40" s="104"/>
      <c r="AE40" s="14"/>
      <c r="AF40" s="104"/>
      <c r="AG40" s="14"/>
      <c r="AH40" s="104"/>
      <c r="AI40" s="14"/>
      <c r="AJ40" s="104"/>
      <c r="AK40" s="14"/>
      <c r="AL40" s="104"/>
      <c r="AM40" s="14"/>
      <c r="AN40" s="104"/>
      <c r="AO40" s="14"/>
      <c r="AP40" s="104"/>
      <c r="AQ40" s="14"/>
      <c r="AR40" s="104"/>
      <c r="AS40" s="14"/>
      <c r="AT40" s="104"/>
      <c r="AU40" s="14"/>
      <c r="AV40" s="104"/>
      <c r="AW40" s="14"/>
      <c r="AX40" s="104"/>
      <c r="AY40" s="14"/>
      <c r="AZ40" s="104"/>
      <c r="BA40" s="14"/>
      <c r="BB40" s="106"/>
      <c r="BC40" s="14"/>
      <c r="BD40" s="104"/>
      <c r="BE40" s="14"/>
      <c r="BF40" s="104"/>
      <c r="BG40" s="14"/>
      <c r="BH40" s="104"/>
      <c r="BI40" s="14"/>
      <c r="BJ40" s="104"/>
      <c r="BK40" s="14"/>
      <c r="BL40" s="104"/>
      <c r="BM40" s="14"/>
      <c r="BN40" s="104"/>
      <c r="BP40" s="14"/>
    </row>
    <row r="41" spans="1:68" s="12" customFormat="1" ht="39.6" customHeight="1" x14ac:dyDescent="0.25">
      <c r="A41"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6.2</v>
      </c>
      <c r="B41" s="15" t="s">
        <v>51</v>
      </c>
      <c r="C41" s="12" t="s">
        <v>13</v>
      </c>
      <c r="D41" s="13"/>
      <c r="E41" s="74">
        <v>43130</v>
      </c>
      <c r="F41" s="71">
        <f t="shared" si="18"/>
        <v>43130</v>
      </c>
      <c r="G41" s="24">
        <v>1</v>
      </c>
      <c r="H41" s="25">
        <v>0</v>
      </c>
      <c r="I41" s="89">
        <f>IF(OR(F41=0,E41=0),0,NETWORKDAYS(E41,F41))</f>
        <v>1</v>
      </c>
      <c r="J41" s="105"/>
      <c r="K41" s="14"/>
      <c r="L41" s="104"/>
      <c r="M41" s="14"/>
      <c r="N41" s="104"/>
      <c r="O41" s="14"/>
      <c r="P41" s="104"/>
      <c r="Q41" s="14"/>
      <c r="R41" s="104"/>
      <c r="S41" s="14"/>
      <c r="T41" s="104"/>
      <c r="U41" s="14"/>
      <c r="V41" s="104"/>
      <c r="W41" s="14"/>
      <c r="X41" s="104"/>
      <c r="Y41" s="14"/>
      <c r="Z41" s="104"/>
      <c r="AA41" s="14"/>
      <c r="AB41" s="104"/>
      <c r="AC41" s="14"/>
      <c r="AD41" s="104"/>
      <c r="AE41" s="14"/>
      <c r="AF41" s="104"/>
      <c r="AG41" s="14"/>
      <c r="AH41" s="104"/>
      <c r="AI41" s="14"/>
      <c r="AJ41" s="104"/>
      <c r="AK41" s="14"/>
      <c r="AL41" s="104"/>
      <c r="AM41" s="14"/>
      <c r="AN41" s="104"/>
      <c r="AO41" s="14"/>
      <c r="AP41" s="104"/>
      <c r="AQ41" s="14"/>
      <c r="AR41" s="104"/>
      <c r="AS41" s="14"/>
      <c r="AT41" s="104"/>
      <c r="AU41" s="14"/>
      <c r="AV41" s="104"/>
      <c r="AW41" s="14"/>
      <c r="AX41" s="104"/>
      <c r="AY41" s="14"/>
      <c r="AZ41" s="104"/>
      <c r="BA41" s="14"/>
      <c r="BB41" s="108"/>
      <c r="BD41" s="104"/>
      <c r="BF41" s="104"/>
      <c r="BH41" s="104"/>
      <c r="BJ41" s="104"/>
      <c r="BL41" s="104"/>
      <c r="BN41" s="104"/>
    </row>
    <row r="42" spans="1:68" s="12" customFormat="1" ht="39" customHeight="1" x14ac:dyDescent="0.25">
      <c r="A42"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v>
      </c>
      <c r="B42" s="15" t="s">
        <v>52</v>
      </c>
      <c r="C42" s="12" t="s">
        <v>16</v>
      </c>
      <c r="D42" s="13"/>
      <c r="E42" s="74">
        <v>43131</v>
      </c>
      <c r="F42" s="71">
        <f t="shared" si="18"/>
        <v>43131</v>
      </c>
      <c r="G42" s="24">
        <v>1</v>
      </c>
      <c r="H42" s="25">
        <v>0</v>
      </c>
      <c r="I42" s="89">
        <f>IF(OR(F42=0,E42=0),0,NETWORKDAYS(E42,F42))</f>
        <v>1</v>
      </c>
      <c r="J42" s="105"/>
      <c r="K42" s="14"/>
      <c r="L42" s="104"/>
      <c r="M42" s="14"/>
      <c r="N42" s="104"/>
      <c r="O42" s="14"/>
      <c r="P42" s="104"/>
      <c r="Q42" s="14"/>
      <c r="R42" s="104"/>
      <c r="S42" s="14"/>
      <c r="T42" s="104"/>
      <c r="U42" s="14"/>
      <c r="V42" s="104"/>
      <c r="W42" s="14"/>
      <c r="X42" s="104"/>
      <c r="Y42" s="14"/>
      <c r="Z42" s="104"/>
      <c r="AA42" s="14"/>
      <c r="AB42" s="104"/>
      <c r="AC42" s="14"/>
      <c r="AD42" s="104"/>
      <c r="AE42" s="14"/>
      <c r="AF42" s="104"/>
      <c r="AG42" s="14"/>
      <c r="AH42" s="104"/>
      <c r="AI42" s="14"/>
      <c r="AJ42" s="104"/>
      <c r="AK42" s="14"/>
      <c r="AL42" s="104"/>
      <c r="AM42" s="14"/>
      <c r="AN42" s="104"/>
      <c r="AO42" s="14"/>
      <c r="AP42" s="104"/>
      <c r="AQ42" s="14"/>
      <c r="AR42" s="104"/>
      <c r="AS42" s="14"/>
      <c r="AT42" s="104"/>
      <c r="AU42" s="14"/>
      <c r="AV42" s="104"/>
      <c r="AW42" s="14"/>
      <c r="AX42" s="104"/>
      <c r="AY42" s="14"/>
      <c r="AZ42" s="104"/>
      <c r="BA42" s="14"/>
      <c r="BB42" s="106"/>
      <c r="BC42" s="14"/>
      <c r="BD42" s="104"/>
      <c r="BE42" s="14"/>
      <c r="BF42" s="104"/>
      <c r="BG42" s="14"/>
      <c r="BH42" s="104"/>
      <c r="BI42" s="14"/>
      <c r="BJ42" s="104"/>
      <c r="BK42" s="14"/>
      <c r="BL42" s="104"/>
      <c r="BM42" s="14"/>
      <c r="BN42" s="104"/>
    </row>
    <row r="43" spans="1:68" s="11" customFormat="1" ht="13.8" x14ac:dyDescent="0.25">
      <c r="A43" s="80" t="str">
        <f>IF(ISERROR(VALUE(SUBSTITUTE(prevWBS,".",""))),"1",IF(ISERROR(FIND("`",SUBSTITUTE(prevWBS,".","`",1))),TEXT(VALUE(prevWBS)+1,"#"),TEXT(VALUE(LEFT(prevWBS,FIND("`",SUBSTITUTE(prevWBS,".","`",1))-1))+1,"#")))</f>
        <v>7</v>
      </c>
      <c r="B43" s="67" t="s">
        <v>30</v>
      </c>
      <c r="D43" s="16"/>
      <c r="E43" s="72"/>
      <c r="F43" s="73"/>
      <c r="G43" s="17"/>
      <c r="H43" s="18"/>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row>
    <row r="44" spans="1:68" s="12" customFormat="1" ht="26.4" customHeight="1" x14ac:dyDescent="0.25">
      <c r="A44"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44" s="15" t="s">
        <v>53</v>
      </c>
      <c r="C44" s="12" t="s">
        <v>14</v>
      </c>
      <c r="D44" s="13"/>
      <c r="E44" s="74">
        <v>43129</v>
      </c>
      <c r="F44" s="71">
        <f t="shared" ref="F44:F46" si="19">IF(ISBLANK(E44)," - ",IF(G44=0,E44,E44+G44-1))</f>
        <v>43129</v>
      </c>
      <c r="G44" s="24">
        <v>1</v>
      </c>
      <c r="H44" s="25">
        <v>0</v>
      </c>
      <c r="I44" s="89">
        <f>IF(OR(F44=0,E44=0),0,NETWORKDAYS(E44,F44))</f>
        <v>1</v>
      </c>
      <c r="J44" s="105"/>
      <c r="K44" s="14"/>
      <c r="L44" s="104"/>
      <c r="M44" s="14"/>
      <c r="N44" s="104"/>
      <c r="O44" s="14"/>
      <c r="P44" s="104"/>
      <c r="Q44" s="14"/>
      <c r="R44" s="104"/>
      <c r="S44" s="14"/>
      <c r="T44" s="104"/>
      <c r="U44" s="14"/>
      <c r="V44" s="104"/>
      <c r="W44" s="14"/>
      <c r="X44" s="104"/>
      <c r="Y44" s="14"/>
      <c r="Z44" s="104"/>
      <c r="AA44" s="14"/>
      <c r="AB44" s="104"/>
      <c r="AC44" s="14"/>
      <c r="AD44" s="104"/>
      <c r="AE44" s="14"/>
      <c r="AF44" s="104"/>
      <c r="AG44" s="14"/>
      <c r="AH44" s="104"/>
      <c r="AI44" s="14"/>
      <c r="AJ44" s="104"/>
      <c r="AK44" s="14"/>
      <c r="AL44" s="104"/>
      <c r="AM44" s="14"/>
      <c r="AN44" s="104"/>
      <c r="AO44" s="14"/>
      <c r="AP44" s="104"/>
      <c r="AQ44" s="14"/>
      <c r="AR44" s="104"/>
      <c r="AS44" s="14"/>
      <c r="AT44" s="104"/>
      <c r="AU44" s="14"/>
      <c r="AV44" s="104"/>
      <c r="AW44" s="14"/>
      <c r="AX44" s="104"/>
      <c r="AY44" s="14"/>
      <c r="AZ44" s="104"/>
      <c r="BA44" s="14"/>
      <c r="BB44" s="104"/>
      <c r="BC44" s="106"/>
      <c r="BD44" s="106"/>
      <c r="BE44" s="106"/>
      <c r="BF44" s="104"/>
      <c r="BG44" s="14"/>
      <c r="BH44" s="104"/>
      <c r="BI44" s="14"/>
      <c r="BJ44" s="104"/>
      <c r="BK44" s="14"/>
      <c r="BL44" s="104"/>
      <c r="BM44" s="14"/>
      <c r="BN44" s="104"/>
    </row>
    <row r="45" spans="1:68" s="12" customFormat="1" ht="34.200000000000003" x14ac:dyDescent="0.25">
      <c r="A45"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45" s="15" t="s">
        <v>54</v>
      </c>
      <c r="C45" s="12" t="s">
        <v>13</v>
      </c>
      <c r="D45" s="13"/>
      <c r="E45" s="74">
        <v>43130</v>
      </c>
      <c r="F45" s="71">
        <f t="shared" si="19"/>
        <v>43130</v>
      </c>
      <c r="G45" s="24">
        <v>1</v>
      </c>
      <c r="H45" s="25">
        <v>0</v>
      </c>
      <c r="I45" s="89">
        <f>IF(OR(F45=0,E45=0),0,NETWORKDAYS(E45,F45))</f>
        <v>1</v>
      </c>
      <c r="J45" s="105"/>
      <c r="K45" s="14"/>
      <c r="L45" s="104"/>
      <c r="M45" s="14"/>
      <c r="N45" s="104"/>
      <c r="O45" s="14"/>
      <c r="P45" s="104"/>
      <c r="Q45" s="14"/>
      <c r="R45" s="104"/>
      <c r="S45" s="14"/>
      <c r="T45" s="104"/>
      <c r="U45" s="14"/>
      <c r="V45" s="104"/>
      <c r="W45" s="14"/>
      <c r="X45" s="104"/>
      <c r="Y45" s="14"/>
      <c r="Z45" s="104"/>
      <c r="AA45" s="14"/>
      <c r="AB45" s="104"/>
      <c r="AC45" s="14"/>
      <c r="AD45" s="104"/>
      <c r="AE45" s="14"/>
      <c r="AF45" s="104"/>
      <c r="AG45" s="14"/>
      <c r="AH45" s="104"/>
      <c r="AI45" s="14"/>
      <c r="AJ45" s="104"/>
      <c r="AK45" s="14"/>
      <c r="AL45" s="104"/>
      <c r="AM45" s="14"/>
      <c r="AN45" s="104"/>
      <c r="AO45" s="14"/>
      <c r="AP45" s="104"/>
      <c r="AQ45" s="14"/>
      <c r="AR45" s="104"/>
      <c r="AS45" s="14"/>
      <c r="AT45" s="104"/>
      <c r="AU45" s="14"/>
      <c r="AV45" s="104"/>
      <c r="AW45" s="14"/>
      <c r="AX45" s="104"/>
      <c r="AY45" s="14"/>
      <c r="AZ45" s="104"/>
      <c r="BA45" s="14"/>
      <c r="BB45" s="104"/>
      <c r="BC45" s="106"/>
      <c r="BD45" s="106"/>
      <c r="BE45" s="106"/>
      <c r="BF45" s="104"/>
      <c r="BG45" s="14"/>
      <c r="BH45" s="104"/>
      <c r="BI45" s="14"/>
      <c r="BJ45" s="104"/>
      <c r="BK45" s="14"/>
      <c r="BL45" s="104"/>
      <c r="BM45" s="14"/>
      <c r="BN45" s="104"/>
    </row>
    <row r="46" spans="1:68" s="12" customFormat="1" ht="17.399999999999999" x14ac:dyDescent="0.25">
      <c r="A46" s="7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46" s="15" t="s">
        <v>55</v>
      </c>
      <c r="C46" s="12" t="s">
        <v>16</v>
      </c>
      <c r="D46" s="13"/>
      <c r="E46" s="74">
        <v>43131</v>
      </c>
      <c r="F46" s="71">
        <f t="shared" si="19"/>
        <v>43131</v>
      </c>
      <c r="G46" s="24">
        <v>1</v>
      </c>
      <c r="H46" s="25">
        <v>0</v>
      </c>
      <c r="I46" s="89">
        <f>IF(OR(F46=0,E46=0),0,NETWORKDAYS(E46,F46))</f>
        <v>1</v>
      </c>
      <c r="J46" s="105"/>
      <c r="K46" s="14"/>
      <c r="L46" s="104"/>
      <c r="M46" s="14"/>
      <c r="N46" s="104"/>
      <c r="O46" s="14"/>
      <c r="P46" s="104"/>
      <c r="Q46" s="14"/>
      <c r="R46" s="104"/>
      <c r="S46" s="14"/>
      <c r="T46" s="104"/>
      <c r="U46" s="14"/>
      <c r="V46" s="104"/>
      <c r="W46" s="14"/>
      <c r="X46" s="104"/>
      <c r="Y46" s="14"/>
      <c r="Z46" s="104"/>
      <c r="AA46" s="14"/>
      <c r="AB46" s="104"/>
      <c r="AC46" s="14"/>
      <c r="AD46" s="104"/>
      <c r="AE46" s="14"/>
      <c r="AF46" s="104"/>
      <c r="AG46" s="14"/>
      <c r="AH46" s="104"/>
      <c r="AI46" s="14"/>
      <c r="AJ46" s="104"/>
      <c r="AK46" s="14"/>
      <c r="AL46" s="104"/>
      <c r="AM46" s="14"/>
      <c r="AN46" s="104"/>
      <c r="AO46" s="14"/>
      <c r="AP46" s="104"/>
      <c r="AQ46" s="14"/>
      <c r="AR46" s="104"/>
      <c r="AS46" s="14"/>
      <c r="AT46" s="104"/>
      <c r="AU46" s="14"/>
      <c r="AV46" s="104"/>
      <c r="AW46" s="14"/>
      <c r="AX46" s="104"/>
      <c r="AY46" s="14"/>
      <c r="AZ46" s="104"/>
      <c r="BA46" s="14"/>
      <c r="BB46" s="104"/>
      <c r="BC46" s="106"/>
      <c r="BD46" s="106"/>
      <c r="BE46" s="106"/>
      <c r="BF46" s="104"/>
      <c r="BG46" s="14"/>
      <c r="BH46" s="104"/>
      <c r="BI46" s="14"/>
      <c r="BJ46" s="104"/>
      <c r="BK46" s="14"/>
      <c r="BL46" s="104"/>
      <c r="BM46" s="14"/>
      <c r="BN46" s="104"/>
    </row>
  </sheetData>
  <sheetProtection formatCells="0" formatColumns="0" formatRows="0" insertRows="0" deleteRows="0"/>
  <mergeCells count="19">
    <mergeCell ref="BH4:BN4"/>
    <mergeCell ref="BH5:BN5"/>
    <mergeCell ref="AM5:AS5"/>
    <mergeCell ref="AT4:AZ4"/>
    <mergeCell ref="AT5:AZ5"/>
    <mergeCell ref="AM4:AS4"/>
    <mergeCell ref="BA4:BG4"/>
    <mergeCell ref="BA5:BG5"/>
    <mergeCell ref="AD1:AR1"/>
    <mergeCell ref="AF4:AL4"/>
    <mergeCell ref="AF5:AL5"/>
    <mergeCell ref="R4:X4"/>
    <mergeCell ref="C5:E5"/>
    <mergeCell ref="K4:Q4"/>
    <mergeCell ref="C4:E4"/>
    <mergeCell ref="R5:X5"/>
    <mergeCell ref="K5:Q5"/>
    <mergeCell ref="Y4:AE4"/>
    <mergeCell ref="Y5:AE5"/>
  </mergeCells>
  <phoneticPr fontId="3" type="noConversion"/>
  <conditionalFormatting sqref="H8:H30 H32">
    <cfRule type="dataBar" priority="28">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cfRule type="expression" dxfId="15" priority="65">
      <formula>K$6=TODAY()</formula>
    </cfRule>
  </conditionalFormatting>
  <conditionalFormatting sqref="K15:T15 K17:T17 K16:BN16 V15:BN15 V17:BN17 BD41 K40:BA42 K38:BA38 BN34:BN38 BC34:BC38 BE34:BE38 BG34:BG38 BI34:BI38 BK34:BK38 K37:AY37 BA34:BA37 K39:BN39 BC42:BN42 BF41 BH41 BJ41 BL41 BN41 BB40:BN40 K44:BN46 K8:BN14 K18:BN33 K34:AX36 AY36">
    <cfRule type="expression" dxfId="5" priority="68">
      <formula>AND($E8&lt;=K$6,ROUNDDOWN(($F8-$E8+1)*$H8,0)+$E8-1&gt;=K$6)</formula>
    </cfRule>
    <cfRule type="expression" dxfId="4" priority="69">
      <formula>AND(NOT(ISBLANK($E8)),$E8&lt;=K$6,$F8&gt;=K$6)</formula>
    </cfRule>
  </conditionalFormatting>
  <conditionalFormatting sqref="K15:T15 BD41 K40:BA42 V15:BN15 AW29:BN32 AU29:AV31 K32:BN33 K34:AX34 K38:BA38 BN34:BN38 BC34:BC38 BE34:BE38 BG34:BG38 BI34:BI38 BK34:BK38 BA34:BA37 K39:BN39 BF41 BH41 BJ41 BL41 BN41 BB42:BN42 BB40:BN40 K6:BN14 K16:BN30 K35:AY37">
    <cfRule type="expression" dxfId="3" priority="22">
      <formula>K$6=TODAY()</formula>
    </cfRule>
  </conditionalFormatting>
  <conditionalFormatting sqref="H33:H38">
    <cfRule type="dataBar" priority="17">
      <dataBar>
        <cfvo type="num" val="0"/>
        <cfvo type="num" val="1"/>
        <color theme="0" tint="-0.249977111117893"/>
      </dataBar>
      <extLst>
        <ext xmlns:x14="http://schemas.microsoft.com/office/spreadsheetml/2009/9/main" uri="{B025F937-C7B1-47D3-B67F-A62EFF666E3E}">
          <x14:id>{C6E9F3ED-0D1A-473E-93D0-D05F8C42D3E1}</x14:id>
        </ext>
      </extLst>
    </cfRule>
  </conditionalFormatting>
  <conditionalFormatting sqref="H39:H42">
    <cfRule type="dataBar" priority="13">
      <dataBar>
        <cfvo type="num" val="0"/>
        <cfvo type="num" val="1"/>
        <color theme="0" tint="-0.249977111117893"/>
      </dataBar>
      <extLst>
        <ext xmlns:x14="http://schemas.microsoft.com/office/spreadsheetml/2009/9/main" uri="{B025F937-C7B1-47D3-B67F-A62EFF666E3E}">
          <x14:id>{D87A84DB-1302-46BD-8AC1-75C755193063}</x14:id>
        </ext>
      </extLst>
    </cfRule>
  </conditionalFormatting>
  <conditionalFormatting sqref="H43:H46">
    <cfRule type="dataBar" priority="9">
      <dataBar>
        <cfvo type="num" val="0"/>
        <cfvo type="num" val="1"/>
        <color theme="0" tint="-0.249977111117893"/>
      </dataBar>
      <extLst>
        <ext xmlns:x14="http://schemas.microsoft.com/office/spreadsheetml/2009/9/main" uri="{B025F937-C7B1-47D3-B67F-A62EFF666E3E}">
          <x14:id>{39E3BF79-728A-4A19-A844-08C5ECBDAB3C}</x14:id>
        </ext>
      </extLst>
    </cfRule>
  </conditionalFormatting>
  <conditionalFormatting sqref="K44:BN46">
    <cfRule type="expression" dxfId="14" priority="8">
      <formula>K$6=TODAY()</formula>
    </cfRule>
  </conditionalFormatting>
  <conditionalFormatting sqref="K31:BN31">
    <cfRule type="expression" dxfId="13" priority="4">
      <formula>K$6=TODAY()</formula>
    </cfRule>
  </conditionalFormatting>
  <conditionalFormatting sqref="H31">
    <cfRule type="dataBar" priority="5">
      <dataBar>
        <cfvo type="num" val="0"/>
        <cfvo type="num" val="1"/>
        <color theme="0" tint="-0.249977111117893"/>
      </dataBar>
      <extLst>
        <ext xmlns:x14="http://schemas.microsoft.com/office/spreadsheetml/2009/9/main" uri="{B025F937-C7B1-47D3-B67F-A62EFF666E3E}">
          <x14:id>{BA31A5BE-F1FE-4E93-A22F-5A7B34A4086E}</x14:id>
        </ext>
      </extLst>
    </cfRule>
  </conditionalFormatting>
  <conditionalFormatting sqref="U17">
    <cfRule type="expression" dxfId="12" priority="72">
      <formula>AND($E15&lt;=U$6,ROUNDDOWN(($F15-$E15+1)*$H15,0)+$E15-1&gt;=U$6)</formula>
    </cfRule>
    <cfRule type="expression" dxfId="11" priority="73">
      <formula>AND(NOT(ISBLANK($E15)),$E15&lt;=U$6,$F15&gt;=U$6)</formula>
    </cfRule>
  </conditionalFormatting>
  <conditionalFormatting sqref="BB42">
    <cfRule type="expression" dxfId="10" priority="79">
      <formula>BC$6=TODAY()</formula>
    </cfRule>
  </conditionalFormatting>
  <conditionalFormatting sqref="BB42">
    <cfRule type="expression" dxfId="9" priority="84">
      <formula>AND($E41&lt;=BC$6,ROUNDDOWN(($F41-$E41+1)*$H41,0)+$E41-1&gt;=BC$6)</formula>
    </cfRule>
    <cfRule type="expression" dxfId="8" priority="85">
      <formula>AND(NOT(ISBLANK($E41)),$E41&lt;=BC$6,$F41&gt;=BC$6)</formula>
    </cfRule>
  </conditionalFormatting>
  <conditionalFormatting sqref="AY35">
    <cfRule type="expression" dxfId="7" priority="98">
      <formula>AND($E34&lt;=AY$6,ROUNDDOWN(($F34-$E34+1)*$H34,0)+$E34-1&gt;=AY$6)</formula>
    </cfRule>
    <cfRule type="expression" dxfId="6" priority="99">
      <formula>AND(NOT(ISBLANK($E34)),$E34&lt;=AY$6,$F34&gt;=AY$6)</formula>
    </cfRule>
  </conditionalFormatting>
  <conditionalFormatting sqref="BP40">
    <cfRule type="expression" dxfId="2" priority="2">
      <formula>AND($E40&lt;=BP$6,ROUNDDOWN(($F40-$E40+1)*$H40,0)+$E40-1&gt;=BP$6)</formula>
    </cfRule>
    <cfRule type="expression" dxfId="1" priority="3">
      <formula>AND(NOT(ISBLANK($E40)),$E40&lt;=BP$6,$F40&gt;=BP$6)</formula>
    </cfRule>
  </conditionalFormatting>
  <conditionalFormatting sqref="BP40">
    <cfRule type="expression" dxfId="0" priority="1">
      <formula>BP$6=TODAY()</formula>
    </cfRule>
  </conditionalFormatting>
  <dataValidations disablePrompts="1"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pageMargins left="0.25" right="0.25" top="0.5" bottom="0.5" header="0.5" footer="0.25"/>
  <pageSetup scale="61" fitToHeight="0" orientation="landscape" r:id="rId1"/>
  <headerFooter alignWithMargins="0"/>
  <ignoredErrors>
    <ignoredError sqref="I9 F14 F20 F26 I15 I13 I11 I12 I10 H27:I30 H21:I24 H16:I18 H14:I14 H20:I20 H26:I26" unlockedFormula="1"/>
    <ignoredError sqref="A26 A20 A1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10</xdr:col>
                    <xdr:colOff>7620</xdr:colOff>
                    <xdr:row>1</xdr:row>
                    <xdr:rowOff>38100</xdr:rowOff>
                  </from>
                  <to>
                    <xdr:col>73</xdr:col>
                    <xdr:colOff>190500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H8:H30 H32</xm:sqref>
        </x14:conditionalFormatting>
        <x14:conditionalFormatting xmlns:xm="http://schemas.microsoft.com/office/excel/2006/main">
          <x14:cfRule type="dataBar" id="{C6E9F3ED-0D1A-473E-93D0-D05F8C42D3E1}">
            <x14:dataBar minLength="0" maxLength="100" gradient="0">
              <x14:cfvo type="num">
                <xm:f>0</xm:f>
              </x14:cfvo>
              <x14:cfvo type="num">
                <xm:f>1</xm:f>
              </x14:cfvo>
              <x14:negativeFillColor rgb="FFFF0000"/>
              <x14:axisColor rgb="FF000000"/>
            </x14:dataBar>
          </x14:cfRule>
          <xm:sqref>H33:H38</xm:sqref>
        </x14:conditionalFormatting>
        <x14:conditionalFormatting xmlns:xm="http://schemas.microsoft.com/office/excel/2006/main">
          <x14:cfRule type="dataBar" id="{D87A84DB-1302-46BD-8AC1-75C755193063}">
            <x14:dataBar minLength="0" maxLength="100" gradient="0">
              <x14:cfvo type="num">
                <xm:f>0</xm:f>
              </x14:cfvo>
              <x14:cfvo type="num">
                <xm:f>1</xm:f>
              </x14:cfvo>
              <x14:negativeFillColor rgb="FFFF0000"/>
              <x14:axisColor rgb="FF000000"/>
            </x14:dataBar>
          </x14:cfRule>
          <xm:sqref>H39:H42</xm:sqref>
        </x14:conditionalFormatting>
        <x14:conditionalFormatting xmlns:xm="http://schemas.microsoft.com/office/excel/2006/main">
          <x14:cfRule type="dataBar" id="{39E3BF79-728A-4A19-A844-08C5ECBDAB3C}">
            <x14:dataBar minLength="0" maxLength="100" gradient="0">
              <x14:cfvo type="num">
                <xm:f>0</xm:f>
              </x14:cfvo>
              <x14:cfvo type="num">
                <xm:f>1</xm:f>
              </x14:cfvo>
              <x14:negativeFillColor rgb="FFFF0000"/>
              <x14:axisColor rgb="FF000000"/>
            </x14:dataBar>
          </x14:cfRule>
          <xm:sqref>H43:H46</xm:sqref>
        </x14:conditionalFormatting>
        <x14:conditionalFormatting xmlns:xm="http://schemas.microsoft.com/office/excel/2006/main">
          <x14:cfRule type="dataBar" id="{BA31A5BE-F1FE-4E93-A22F-5A7B34A4086E}">
            <x14:dataBar minLength="0" maxLength="100" gradient="0">
              <x14:cfvo type="num">
                <xm:f>0</xm:f>
              </x14:cfvo>
              <x14:cfvo type="num">
                <xm:f>1</xm:f>
              </x14:cfvo>
              <x14:negativeFillColor rgb="FFFF0000"/>
              <x14:axisColor rgb="FF000000"/>
            </x14:dataBar>
          </x14:cfRule>
          <xm:sqref>H31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Листы</vt:lpstr>
      </vt:variant>
      <vt:variant>
        <vt:i4>1</vt:i4>
      </vt:variant>
      <vt:variant>
        <vt:lpstr>Диаграммы</vt:lpstr>
      </vt:variant>
      <vt:variant>
        <vt:i4>2</vt:i4>
      </vt:variant>
      <vt:variant>
        <vt:lpstr>Именованные диапазоны</vt:lpstr>
      </vt:variant>
      <vt:variant>
        <vt:i4>3</vt:i4>
      </vt:variant>
    </vt:vector>
  </HeadingPairs>
  <TitlesOfParts>
    <vt:vector size="6" baseType="lpstr">
      <vt:lpstr>GanttChart</vt:lpstr>
      <vt:lpstr>Диаграмма2</vt:lpstr>
      <vt:lpstr>Диаграмма1</vt:lpstr>
      <vt:lpstr>GanttChart!prevWBS</vt:lpstr>
      <vt:lpstr>GanttChart!Заголовки_для_печати</vt:lpstr>
      <vt:lpstr>GanttChart!Область_печати</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Deesthortered</cp:lastModifiedBy>
  <cp:lastPrinted>2018-02-09T22:40:51Z</cp:lastPrinted>
  <dcterms:created xsi:type="dcterms:W3CDTF">2010-06-09T16:05:03Z</dcterms:created>
  <dcterms:modified xsi:type="dcterms:W3CDTF">2019-11-21T09:47:40Z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